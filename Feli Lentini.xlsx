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369E2774-AC69-46AF-9242-C91B04D331F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07-04-2026" sheetId="1" r:id="rId1"/>
    <sheet name="08-04-2026" sheetId="2" r:id="rId2"/>
    <sheet name="10-04-2026" sheetId="3" r:id="rId3"/>
    <sheet name="15-04-202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4" l="1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D37" i="4"/>
  <c r="F35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F34" i="3"/>
  <c r="H32" i="3"/>
  <c r="H31" i="3"/>
  <c r="H30" i="3"/>
  <c r="H29" i="3"/>
  <c r="H28" i="3"/>
  <c r="H27" i="3"/>
  <c r="H26" i="3"/>
  <c r="H25" i="3"/>
  <c r="H24" i="3"/>
  <c r="H23" i="3"/>
  <c r="H22" i="3"/>
  <c r="H21" i="3"/>
  <c r="D18" i="3"/>
  <c r="F16" i="3"/>
  <c r="J14" i="3"/>
  <c r="J13" i="3"/>
  <c r="J12" i="3"/>
  <c r="J11" i="3"/>
  <c r="J10" i="3"/>
  <c r="J9" i="3"/>
  <c r="J8" i="3"/>
  <c r="J7" i="3"/>
  <c r="J6" i="3"/>
  <c r="J5" i="3"/>
  <c r="F55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D31" i="2"/>
  <c r="F29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F39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D20" i="1"/>
  <c r="F18" i="1"/>
  <c r="J16" i="1"/>
  <c r="J15" i="1"/>
  <c r="J14" i="1"/>
  <c r="J13" i="1"/>
  <c r="J12" i="1"/>
  <c r="J11" i="1"/>
  <c r="J10" i="1"/>
  <c r="J9" i="1"/>
  <c r="J8" i="1"/>
  <c r="J7" i="1"/>
  <c r="J6" i="1"/>
  <c r="J5" i="1"/>
  <c r="J18" i="1" s="1"/>
  <c r="J19" i="1" s="1"/>
  <c r="H54" i="4" l="1"/>
  <c r="H55" i="2"/>
  <c r="H34" i="3"/>
  <c r="J35" i="4"/>
  <c r="J36" i="4" s="1"/>
  <c r="J29" i="2"/>
  <c r="J30" i="2" s="1"/>
  <c r="H39" i="1"/>
  <c r="J16" i="3"/>
  <c r="J17" i="3" s="1"/>
</calcChain>
</file>

<file path=xl/sharedStrings.xml><?xml version="1.0" encoding="utf-8"?>
<sst xmlns="http://schemas.openxmlformats.org/spreadsheetml/2006/main" count="433" uniqueCount="68">
  <si>
    <t>FECHA:</t>
  </si>
  <si>
    <t>OBRA:</t>
  </si>
  <si>
    <t>Nombre</t>
  </si>
  <si>
    <t>Obra</t>
  </si>
  <si>
    <t>Medidas</t>
  </si>
  <si>
    <t>Cant.</t>
  </si>
  <si>
    <t>Vidrio 1</t>
  </si>
  <si>
    <t>Cámara</t>
  </si>
  <si>
    <t>Vidrio 2</t>
  </si>
  <si>
    <t>Mts.2</t>
  </si>
  <si>
    <t>OBSERVACIONES</t>
  </si>
  <si>
    <t>Cantidad</t>
  </si>
  <si>
    <t>Vidrio</t>
  </si>
  <si>
    <t>Observ.</t>
  </si>
  <si>
    <t>Pablo</t>
  </si>
  <si>
    <t>De Vanno</t>
  </si>
  <si>
    <t>5+5</t>
  </si>
  <si>
    <t>4+4</t>
  </si>
  <si>
    <t>Leo Vergel</t>
  </si>
  <si>
    <t>Las Chilcas - GD</t>
  </si>
  <si>
    <t>BPR-2L2C</t>
  </si>
  <si>
    <t>Jose Aspiroz</t>
  </si>
  <si>
    <t>GD</t>
  </si>
  <si>
    <t>Espejo 4</t>
  </si>
  <si>
    <t>Chino</t>
  </si>
  <si>
    <t>Paula Arquivial</t>
  </si>
  <si>
    <t>3+3</t>
  </si>
  <si>
    <t>Agustín Beiró</t>
  </si>
  <si>
    <t>WA06042026</t>
  </si>
  <si>
    <t>Martens</t>
  </si>
  <si>
    <t>Hilda</t>
  </si>
  <si>
    <t>Cobrar</t>
  </si>
  <si>
    <t>Cerralum</t>
  </si>
  <si>
    <t>Baffini</t>
  </si>
  <si>
    <t>Guido</t>
  </si>
  <si>
    <t>Dani Sánchez</t>
  </si>
  <si>
    <t>WA07042026</t>
  </si>
  <si>
    <t>10mm</t>
  </si>
  <si>
    <t>MC - Retira Miércoles de tarde</t>
  </si>
  <si>
    <t>Toletti</t>
  </si>
  <si>
    <t>WA25032026</t>
  </si>
  <si>
    <t>Marcos Moreno</t>
  </si>
  <si>
    <t>Fernando Aguerralde</t>
  </si>
  <si>
    <t>Carafiore</t>
  </si>
  <si>
    <t>5mm</t>
  </si>
  <si>
    <t>Nogueira</t>
  </si>
  <si>
    <t>WA0904Coti</t>
  </si>
  <si>
    <t>4mm</t>
  </si>
  <si>
    <t>Carranza</t>
  </si>
  <si>
    <t>Pablo Ubiedo</t>
  </si>
  <si>
    <t>WA0904</t>
  </si>
  <si>
    <t>4+4PVB blanco</t>
  </si>
  <si>
    <t>Andrés Díaz - CYM</t>
  </si>
  <si>
    <t>Esmerilado</t>
  </si>
  <si>
    <t>Fonseca</t>
  </si>
  <si>
    <t>Almenta</t>
  </si>
  <si>
    <t>VYA</t>
  </si>
  <si>
    <t>Laura</t>
  </si>
  <si>
    <t>Cintia</t>
  </si>
  <si>
    <t>Napaleofú - GD</t>
  </si>
  <si>
    <t>Verellén - Do Cobo</t>
  </si>
  <si>
    <t>Ham-Piannesi</t>
  </si>
  <si>
    <t>Nogales - GD</t>
  </si>
  <si>
    <t>MC</t>
  </si>
  <si>
    <t>Acanalado</t>
  </si>
  <si>
    <t>Preguntar cómo van las líneas</t>
  </si>
  <si>
    <t>Medidas2</t>
  </si>
  <si>
    <t>Medidas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</si>
</sst>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0"/>
      <name val="Arial"/>
      <family val="2"/>
    </font>
    <font>
      <b/>
      <u/>
      <sz val="24"/>
      <name val="Arial"/>
      <family val="2"/>
    </font>
    <font>
      <b/>
      <sz val="24"/>
      <name val="Arial"/>
      <family val="2"/>
    </font>
    <font>
      <sz val="40"/>
      <name val="Arial"/>
      <family val="2"/>
    </font>
    <font>
      <sz val="24"/>
      <name val="Arial"/>
      <family val="2"/>
    </font>
    <font>
      <b/>
      <sz val="3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sz val="36"/>
      <name val="Arial"/>
      <family val="2"/>
    </font>
    <font>
      <sz val="26"/>
      <name val="Arial"/>
      <family val="2"/>
    </font>
    <font>
      <sz val="38"/>
      <name val="Arial"/>
      <family val="2"/>
    </font>
    <font>
      <sz val="16"/>
      <name val="Arial"/>
      <family val="2"/>
    </font>
    <font>
      <b/>
      <sz val="36"/>
      <name val="Arial"/>
      <family val="2"/>
    </font>
    <font>
      <sz val="18"/>
      <name val="Arial"/>
      <family val="2"/>
    </font>
    <font>
      <sz val="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3" fillId="0" borderId="0" xfId="2" applyFont="1"/>
    <xf numFmtId="0" fontId="4" fillId="0" borderId="0" xfId="2" applyFont="1"/>
    <xf numFmtId="0" fontId="5" fillId="0" borderId="0" xfId="2" applyFont="1"/>
    <xf numFmtId="164" fontId="6" fillId="0" borderId="0" xfId="2" applyNumberFormat="1" applyFont="1" applyAlignment="1">
      <alignment horizontal="center"/>
    </xf>
    <xf numFmtId="16" fontId="7" fillId="0" borderId="0" xfId="2" applyNumberFormat="1" applyFont="1" applyAlignment="1">
      <alignment horizontal="left"/>
    </xf>
    <xf numFmtId="0" fontId="7" fillId="0" borderId="0" xfId="2" applyFont="1"/>
    <xf numFmtId="0" fontId="7" fillId="0" borderId="0" xfId="2" applyFont="1" applyAlignment="1">
      <alignment horizontal="center"/>
    </xf>
    <xf numFmtId="165" fontId="7" fillId="0" borderId="0" xfId="2" applyNumberFormat="1" applyFont="1"/>
    <xf numFmtId="0" fontId="8" fillId="2" borderId="1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3" fillId="0" borderId="0" xfId="2" applyFont="1" applyAlignment="1">
      <alignment horizontal="center"/>
    </xf>
    <xf numFmtId="164" fontId="10" fillId="0" borderId="0" xfId="2" applyNumberFormat="1" applyFont="1" applyAlignment="1">
      <alignment horizontal="center"/>
    </xf>
    <xf numFmtId="1" fontId="6" fillId="0" borderId="0" xfId="2" applyNumberFormat="1" applyFont="1" applyAlignment="1">
      <alignment horizontal="center"/>
    </xf>
    <xf numFmtId="0" fontId="6" fillId="0" borderId="0" xfId="2" applyFont="1" applyAlignment="1">
      <alignment horizontal="center"/>
    </xf>
    <xf numFmtId="3" fontId="10" fillId="0" borderId="0" xfId="2" applyNumberFormat="1" applyFont="1" applyAlignment="1">
      <alignment horizontal="center"/>
    </xf>
    <xf numFmtId="0" fontId="10" fillId="0" borderId="0" xfId="2" applyFont="1" applyAlignment="1">
      <alignment horizontal="center"/>
    </xf>
    <xf numFmtId="2" fontId="11" fillId="0" borderId="0" xfId="2" applyNumberFormat="1" applyFont="1" applyAlignment="1">
      <alignment horizontal="center"/>
    </xf>
    <xf numFmtId="0" fontId="2" fillId="0" borderId="0" xfId="2"/>
    <xf numFmtId="1" fontId="12" fillId="0" borderId="0" xfId="2" applyNumberFormat="1" applyFont="1" applyAlignment="1">
      <alignment horizontal="center"/>
    </xf>
    <xf numFmtId="0" fontId="12" fillId="0" borderId="0" xfId="2" applyFont="1" applyAlignment="1">
      <alignment horizontal="center"/>
    </xf>
    <xf numFmtId="0" fontId="6" fillId="0" borderId="3" xfId="2" applyFont="1" applyBorder="1" applyAlignment="1">
      <alignment horizontal="center"/>
    </xf>
    <xf numFmtId="2" fontId="11" fillId="0" borderId="3" xfId="2" applyNumberFormat="1" applyFont="1" applyBorder="1" applyAlignment="1">
      <alignment horizontal="center"/>
    </xf>
    <xf numFmtId="0" fontId="13" fillId="0" borderId="0" xfId="2" applyFont="1" applyAlignment="1">
      <alignment horizontal="center"/>
    </xf>
    <xf numFmtId="2" fontId="5" fillId="0" borderId="0" xfId="2" applyNumberFormat="1" applyFont="1"/>
    <xf numFmtId="164" fontId="10" fillId="0" borderId="0" xfId="2" applyNumberFormat="1" applyFont="1"/>
    <xf numFmtId="0" fontId="14" fillId="0" borderId="0" xfId="2" applyFont="1"/>
    <xf numFmtId="0" fontId="8" fillId="2" borderId="2" xfId="2" applyFont="1" applyFill="1" applyBorder="1" applyAlignment="1">
      <alignment horizontal="center"/>
    </xf>
    <xf numFmtId="10" fontId="11" fillId="0" borderId="0" xfId="1" applyNumberFormat="1" applyFont="1" applyBorder="1" applyAlignment="1">
      <alignment horizontal="center"/>
    </xf>
    <xf numFmtId="2" fontId="7" fillId="0" borderId="0" xfId="2" applyNumberFormat="1" applyFont="1" applyAlignment="1">
      <alignment horizontal="center"/>
    </xf>
    <xf numFmtId="3" fontId="7" fillId="0" borderId="0" xfId="2" applyNumberFormat="1" applyFont="1"/>
    <xf numFmtId="2" fontId="15" fillId="0" borderId="0" xfId="2" applyNumberFormat="1" applyFont="1"/>
    <xf numFmtId="0" fontId="2" fillId="0" borderId="0" xfId="2" applyAlignment="1">
      <alignment horizontal="center"/>
    </xf>
    <xf numFmtId="1" fontId="10" fillId="0" borderId="0" xfId="2" applyNumberFormat="1" applyFont="1" applyAlignment="1">
      <alignment horizontal="center"/>
    </xf>
    <xf numFmtId="0" fontId="10" fillId="0" borderId="3" xfId="2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4" fontId="11" fillId="0" borderId="0" xfId="2" applyNumberFormat="1" applyFont="1" applyAlignment="1">
      <alignment horizontal="center"/>
    </xf>
    <xf numFmtId="0" fontId="16" fillId="0" borderId="0" xfId="2" applyFont="1" applyAlignment="1">
      <alignment horizontal="center"/>
    </xf>
    <xf numFmtId="0" fontId="9" fillId="2" borderId="2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/>
    </xf>
    <xf numFmtId="0" fontId="8" fillId="2" borderId="5" xfId="2" applyFont="1" applyFill="1" applyBorder="1" applyAlignment="1">
      <alignment horizontal="center"/>
    </xf>
    <xf numFmtId="1" fontId="10" fillId="0" borderId="0" xfId="2" applyNumberFormat="1" applyFont="1" applyAlignment="1">
      <alignment horizontal="center"/>
    </xf>
    <xf numFmtId="0" fontId="9" fillId="2" borderId="4" xfId="2" applyFont="1" applyFill="1" applyBorder="1" applyAlignment="1">
      <alignment horizontal="center"/>
    </xf>
    <xf numFmtId="0" fontId="9" fillId="2" borderId="5" xfId="2" applyFont="1" applyFill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O41"/>
  <sheetViews>
    <sheetView showGridLines="0" zoomScale="55" zoomScaleNormal="55" workbookViewId="0">
      <pane ySplit="4" topLeftCell="A15" activePane="bottomLeft" state="frozen"/>
      <selection activeCell="C17" sqref="C17"/>
      <selection pane="bottomLeft" activeCell="C17" sqref="C17"/>
    </sheetView>
  </sheetViews>
  <sheetFormatPr defaultColWidth="11.42578125" defaultRowHeight="37.5" x14ac:dyDescent="0.5"/>
  <cols>
    <col min="1" max="1" width="43.140625" style="1" customWidth="1"/>
    <col min="2" max="2" width="84.7109375" style="18" customWidth="1"/>
    <col min="3" max="3" width="114" style="18" bestFit="1" customWidth="1"/>
    <col min="4" max="4" width="42.5703125" style="18" bestFit="1" customWidth="1"/>
    <col min="5" max="5" width="25.28515625" style="18" customWidth="1"/>
    <col min="6" max="6" width="28.7109375" style="18" bestFit="1" customWidth="1"/>
    <col min="7" max="9" width="39.7109375" style="18" customWidth="1"/>
    <col min="10" max="10" width="39.7109375" style="32" customWidth="1"/>
    <col min="11" max="11" width="69.85546875" style="18" customWidth="1"/>
    <col min="12" max="12" width="17.7109375" style="18" bestFit="1" customWidth="1"/>
    <col min="13" max="16384" width="11.42578125" style="18"/>
  </cols>
  <sheetData>
    <row r="1" spans="1:15" s="6" customFormat="1" ht="49.5" x14ac:dyDescent="0.65">
      <c r="A1" s="1"/>
      <c r="B1" s="2" t="s">
        <v>0</v>
      </c>
      <c r="C1" s="3"/>
      <c r="D1" s="4">
        <v>46119</v>
      </c>
      <c r="E1" s="5"/>
      <c r="J1" s="7"/>
    </row>
    <row r="2" spans="1:15" s="6" customFormat="1" x14ac:dyDescent="0.5">
      <c r="A2" s="1"/>
      <c r="B2" s="2" t="s">
        <v>1</v>
      </c>
      <c r="C2" s="2"/>
      <c r="J2" s="7"/>
    </row>
    <row r="3" spans="1:15" s="6" customFormat="1" x14ac:dyDescent="0.5">
      <c r="A3" s="1"/>
      <c r="B3" s="7"/>
      <c r="D3" s="8"/>
      <c r="J3" s="7"/>
    </row>
    <row r="4" spans="1:15" s="6" customFormat="1" ht="51" x14ac:dyDescent="0.75">
      <c r="A4" s="1"/>
      <c r="B4" s="9" t="s">
        <v>2</v>
      </c>
      <c r="C4" s="9" t="s">
        <v>3</v>
      </c>
      <c r="D4" s="38" t="s">
        <v>4</v>
      </c>
      <c r="E4" s="38"/>
      <c r="F4" s="10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</row>
    <row r="5" spans="1:15" ht="49.5" x14ac:dyDescent="0.65">
      <c r="A5" s="11"/>
      <c r="B5" s="12"/>
      <c r="C5" s="12"/>
      <c r="D5" s="13"/>
      <c r="E5" s="13"/>
      <c r="F5" s="14"/>
      <c r="G5" s="15"/>
      <c r="H5" s="16"/>
      <c r="I5" s="15"/>
      <c r="J5" s="17">
        <f t="shared" ref="J5:J16" si="0">+D5*E5/1000000*2*F5</f>
        <v>0</v>
      </c>
      <c r="K5" s="3"/>
      <c r="L5" s="6"/>
      <c r="M5" s="6"/>
      <c r="N5" s="6"/>
      <c r="O5" s="6"/>
    </row>
    <row r="6" spans="1:15" ht="49.5" x14ac:dyDescent="0.65">
      <c r="A6" s="11"/>
      <c r="B6" s="12"/>
      <c r="C6" s="12"/>
      <c r="D6" s="13"/>
      <c r="E6" s="13"/>
      <c r="F6" s="14"/>
      <c r="G6" s="15"/>
      <c r="H6" s="16"/>
      <c r="I6" s="15"/>
      <c r="J6" s="17">
        <f t="shared" si="0"/>
        <v>0</v>
      </c>
      <c r="K6" s="3"/>
      <c r="L6" s="6"/>
      <c r="M6" s="6"/>
      <c r="N6" s="6"/>
      <c r="O6" s="6"/>
    </row>
    <row r="7" spans="1:15" ht="49.5" x14ac:dyDescent="0.65">
      <c r="A7" s="11"/>
      <c r="B7" s="12"/>
      <c r="C7" s="12"/>
      <c r="D7" s="13"/>
      <c r="E7" s="13"/>
      <c r="F7" s="14"/>
      <c r="G7" s="15"/>
      <c r="H7" s="16"/>
      <c r="I7" s="15"/>
      <c r="J7" s="17">
        <f t="shared" si="0"/>
        <v>0</v>
      </c>
      <c r="K7" s="3"/>
      <c r="L7" s="6"/>
      <c r="M7" s="6"/>
      <c r="N7" s="6"/>
      <c r="O7" s="6"/>
    </row>
    <row r="8" spans="1:15" ht="49.5" x14ac:dyDescent="0.65">
      <c r="A8" s="11"/>
      <c r="B8" s="12"/>
      <c r="C8" s="12"/>
      <c r="D8" s="13"/>
      <c r="E8" s="13"/>
      <c r="F8" s="14"/>
      <c r="G8" s="15"/>
      <c r="H8" s="16"/>
      <c r="I8" s="15"/>
      <c r="J8" s="17">
        <f t="shared" si="0"/>
        <v>0</v>
      </c>
      <c r="K8" s="3"/>
      <c r="L8" s="6"/>
      <c r="M8" s="6"/>
      <c r="N8" s="6"/>
      <c r="O8" s="6"/>
    </row>
    <row r="9" spans="1:15" ht="47.25" x14ac:dyDescent="0.6">
      <c r="A9" s="11"/>
      <c r="B9" s="12"/>
      <c r="C9" s="12"/>
      <c r="D9" s="19"/>
      <c r="E9" s="20"/>
      <c r="F9" s="20"/>
      <c r="G9" s="20"/>
      <c r="H9" s="16"/>
      <c r="I9" s="15"/>
      <c r="J9" s="17">
        <f t="shared" si="0"/>
        <v>0</v>
      </c>
      <c r="K9" s="3"/>
      <c r="L9" s="6"/>
      <c r="M9" s="6"/>
      <c r="N9" s="6"/>
      <c r="O9" s="6"/>
    </row>
    <row r="10" spans="1:15" ht="47.25" x14ac:dyDescent="0.6">
      <c r="A10" s="11"/>
      <c r="B10" s="12"/>
      <c r="C10" s="12"/>
      <c r="D10" s="19"/>
      <c r="E10" s="20"/>
      <c r="F10" s="20"/>
      <c r="G10" s="20"/>
      <c r="H10" s="16"/>
      <c r="I10" s="15"/>
      <c r="J10" s="17">
        <f t="shared" si="0"/>
        <v>0</v>
      </c>
      <c r="K10" s="3"/>
      <c r="L10" s="6"/>
      <c r="M10" s="6"/>
      <c r="N10" s="6"/>
      <c r="O10" s="6"/>
    </row>
    <row r="11" spans="1:15" ht="49.5" x14ac:dyDescent="0.65">
      <c r="A11" s="11"/>
      <c r="B11" s="12"/>
      <c r="C11" s="12"/>
      <c r="D11" s="13"/>
      <c r="E11" s="13"/>
      <c r="F11" s="14"/>
      <c r="G11" s="15"/>
      <c r="H11" s="16"/>
      <c r="I11" s="15"/>
      <c r="J11" s="17">
        <f t="shared" si="0"/>
        <v>0</v>
      </c>
      <c r="K11" s="3"/>
      <c r="L11" s="6"/>
      <c r="M11" s="6"/>
      <c r="N11" s="6"/>
      <c r="O11" s="6"/>
    </row>
    <row r="12" spans="1:15" ht="49.5" x14ac:dyDescent="0.65">
      <c r="A12" s="11"/>
      <c r="B12" s="12"/>
      <c r="C12" s="12"/>
      <c r="D12" s="13"/>
      <c r="E12" s="13"/>
      <c r="F12" s="14"/>
      <c r="G12" s="15"/>
      <c r="H12" s="16"/>
      <c r="I12" s="15"/>
      <c r="J12" s="17">
        <f t="shared" si="0"/>
        <v>0</v>
      </c>
      <c r="K12" s="3"/>
      <c r="L12" s="6"/>
      <c r="M12" s="6"/>
      <c r="N12" s="6"/>
      <c r="O12" s="6"/>
    </row>
    <row r="13" spans="1:15" ht="49.5" x14ac:dyDescent="0.65">
      <c r="A13" s="11"/>
      <c r="B13" s="12"/>
      <c r="C13" s="12"/>
      <c r="D13" s="13"/>
      <c r="E13" s="13"/>
      <c r="F13" s="14"/>
      <c r="G13" s="15"/>
      <c r="H13" s="16"/>
      <c r="I13" s="15"/>
      <c r="J13" s="17">
        <f t="shared" si="0"/>
        <v>0</v>
      </c>
      <c r="K13" s="3"/>
      <c r="L13" s="6"/>
      <c r="M13" s="6"/>
      <c r="N13" s="6"/>
      <c r="O13" s="6"/>
    </row>
    <row r="14" spans="1:15" ht="49.5" x14ac:dyDescent="0.65">
      <c r="A14" s="11"/>
      <c r="B14" s="12"/>
      <c r="C14" s="12"/>
      <c r="D14" s="13"/>
      <c r="E14" s="13"/>
      <c r="F14" s="14"/>
      <c r="G14" s="15"/>
      <c r="H14" s="16"/>
      <c r="I14" s="15"/>
      <c r="J14" s="17">
        <f t="shared" si="0"/>
        <v>0</v>
      </c>
      <c r="K14" s="3"/>
      <c r="L14" s="6"/>
      <c r="M14" s="6"/>
      <c r="N14" s="6"/>
      <c r="O14" s="6"/>
    </row>
    <row r="15" spans="1:15" ht="49.5" x14ac:dyDescent="0.65">
      <c r="A15" s="11"/>
      <c r="B15" s="12"/>
      <c r="C15" s="12"/>
      <c r="D15" s="13"/>
      <c r="E15" s="13"/>
      <c r="F15" s="14"/>
      <c r="G15" s="15"/>
      <c r="H15" s="16"/>
      <c r="I15" s="15"/>
      <c r="J15" s="17">
        <f t="shared" si="0"/>
        <v>0</v>
      </c>
      <c r="K15" s="3"/>
      <c r="L15" s="6"/>
      <c r="M15" s="6"/>
      <c r="N15" s="6"/>
      <c r="O15" s="6"/>
    </row>
    <row r="16" spans="1:15" ht="49.5" x14ac:dyDescent="0.65">
      <c r="A16" s="11"/>
      <c r="B16" s="12"/>
      <c r="C16" s="12"/>
      <c r="D16" s="13"/>
      <c r="E16" s="13"/>
      <c r="F16" s="14"/>
      <c r="G16" s="15"/>
      <c r="H16" s="16"/>
      <c r="I16" s="15"/>
      <c r="J16" s="17">
        <f t="shared" si="0"/>
        <v>0</v>
      </c>
      <c r="K16" s="3"/>
      <c r="L16" s="6"/>
      <c r="M16" s="6"/>
      <c r="N16" s="6"/>
      <c r="O16" s="6"/>
    </row>
    <row r="17" spans="1:11" ht="49.5" x14ac:dyDescent="0.65">
      <c r="A17" s="11"/>
      <c r="B17" s="12"/>
      <c r="C17" s="12"/>
      <c r="D17" s="13"/>
      <c r="E17" s="13"/>
      <c r="F17" s="21"/>
      <c r="G17" s="15"/>
      <c r="H17" s="16"/>
      <c r="I17" s="15"/>
      <c r="J17" s="22"/>
      <c r="K17" s="1"/>
    </row>
    <row r="18" spans="1:11" ht="49.5" x14ac:dyDescent="0.65">
      <c r="A18" s="11"/>
      <c r="B18" s="12"/>
      <c r="C18" s="12"/>
      <c r="D18" s="14"/>
      <c r="E18" s="14"/>
      <c r="F18" s="13">
        <f>SUM(F5:F17)</f>
        <v>0</v>
      </c>
      <c r="G18" s="16"/>
      <c r="H18" s="23"/>
      <c r="I18" s="15"/>
      <c r="J18" s="17">
        <f>+SUM(J5:J17)</f>
        <v>0</v>
      </c>
      <c r="K18" s="17"/>
    </row>
    <row r="19" spans="1:11" x14ac:dyDescent="0.5">
      <c r="H19" s="18">
        <v>5</v>
      </c>
      <c r="J19" s="17">
        <f>+J18/2</f>
        <v>0</v>
      </c>
    </row>
    <row r="20" spans="1:11" ht="45" x14ac:dyDescent="0.6">
      <c r="B20" s="24"/>
      <c r="D20" s="12">
        <f>+D1</f>
        <v>46119</v>
      </c>
      <c r="E20" s="25"/>
      <c r="F20" s="26"/>
      <c r="J20" s="17"/>
    </row>
    <row r="21" spans="1:11" ht="24.75" customHeight="1" x14ac:dyDescent="0.55000000000000004">
      <c r="D21" s="12"/>
      <c r="J21" s="17"/>
    </row>
    <row r="22" spans="1:11" ht="46.5" x14ac:dyDescent="0.7">
      <c r="B22" s="27" t="s">
        <v>2</v>
      </c>
      <c r="C22" s="27" t="s">
        <v>3</v>
      </c>
      <c r="D22" s="39" t="s">
        <v>4</v>
      </c>
      <c r="E22" s="40"/>
      <c r="F22" s="27" t="s">
        <v>11</v>
      </c>
      <c r="G22" s="27" t="s">
        <v>12</v>
      </c>
      <c r="H22" s="27" t="s">
        <v>9</v>
      </c>
      <c r="I22" s="27" t="s">
        <v>13</v>
      </c>
      <c r="J22" s="28"/>
    </row>
    <row r="23" spans="1:11" s="32" customFormat="1" ht="44.45" customHeight="1" x14ac:dyDescent="0.6">
      <c r="A23" s="1"/>
      <c r="B23" s="12" t="s">
        <v>14</v>
      </c>
      <c r="C23" s="12" t="s">
        <v>15</v>
      </c>
      <c r="D23" s="19">
        <v>1250</v>
      </c>
      <c r="E23" s="20">
        <v>3000</v>
      </c>
      <c r="F23" s="20">
        <v>4</v>
      </c>
      <c r="G23" s="20" t="s">
        <v>16</v>
      </c>
      <c r="H23" s="29">
        <f t="shared" ref="H23:H37" si="1">+(D23*E23*F23)/1000000</f>
        <v>15</v>
      </c>
      <c r="I23" s="30"/>
      <c r="J23" s="31"/>
      <c r="K23" s="18"/>
    </row>
    <row r="24" spans="1:11" s="32" customFormat="1" ht="44.45" customHeight="1" x14ac:dyDescent="0.6">
      <c r="A24" s="1"/>
      <c r="B24" s="12" t="s">
        <v>14</v>
      </c>
      <c r="C24" s="12" t="s">
        <v>15</v>
      </c>
      <c r="D24" s="19">
        <v>1170</v>
      </c>
      <c r="E24" s="20">
        <v>3000</v>
      </c>
      <c r="F24" s="20">
        <v>1</v>
      </c>
      <c r="G24" s="20" t="s">
        <v>16</v>
      </c>
      <c r="H24" s="29">
        <f t="shared" si="1"/>
        <v>3.51</v>
      </c>
      <c r="I24" s="30"/>
      <c r="J24" s="31"/>
      <c r="K24" s="18"/>
    </row>
    <row r="25" spans="1:11" s="32" customFormat="1" ht="44.45" customHeight="1" x14ac:dyDescent="0.6">
      <c r="A25" s="1"/>
      <c r="B25" s="12" t="s">
        <v>14</v>
      </c>
      <c r="C25" s="12" t="s">
        <v>15</v>
      </c>
      <c r="D25" s="19">
        <v>1250</v>
      </c>
      <c r="E25" s="20">
        <v>1000</v>
      </c>
      <c r="F25" s="20">
        <v>5</v>
      </c>
      <c r="G25" s="20" t="s">
        <v>17</v>
      </c>
      <c r="H25" s="29">
        <f t="shared" si="1"/>
        <v>6.25</v>
      </c>
      <c r="I25" s="30"/>
      <c r="J25" s="31"/>
      <c r="K25" s="18"/>
    </row>
    <row r="26" spans="1:11" s="32" customFormat="1" ht="44.45" customHeight="1" x14ac:dyDescent="0.6">
      <c r="A26" s="1"/>
      <c r="B26" s="12" t="s">
        <v>14</v>
      </c>
      <c r="C26" s="12" t="s">
        <v>15</v>
      </c>
      <c r="D26" s="19">
        <v>1170</v>
      </c>
      <c r="E26" s="20">
        <v>1000</v>
      </c>
      <c r="F26" s="20">
        <v>1</v>
      </c>
      <c r="G26" s="20" t="s">
        <v>17</v>
      </c>
      <c r="H26" s="29">
        <f t="shared" si="1"/>
        <v>1.17</v>
      </c>
      <c r="I26" s="30"/>
      <c r="J26" s="31"/>
      <c r="K26" s="18"/>
    </row>
    <row r="27" spans="1:11" s="32" customFormat="1" ht="44.45" customHeight="1" x14ac:dyDescent="0.6">
      <c r="A27" s="1"/>
      <c r="B27" s="12" t="s">
        <v>18</v>
      </c>
      <c r="C27" s="12" t="s">
        <v>19</v>
      </c>
      <c r="D27" s="19">
        <v>730</v>
      </c>
      <c r="E27" s="20">
        <v>2010</v>
      </c>
      <c r="F27" s="20">
        <v>1</v>
      </c>
      <c r="G27" s="20" t="s">
        <v>17</v>
      </c>
      <c r="H27" s="29">
        <f t="shared" si="1"/>
        <v>1.4673</v>
      </c>
      <c r="I27" s="30" t="s">
        <v>20</v>
      </c>
      <c r="J27" s="31"/>
      <c r="K27" s="18"/>
    </row>
    <row r="28" spans="1:11" s="32" customFormat="1" ht="44.45" customHeight="1" x14ac:dyDescent="0.6">
      <c r="A28" s="1"/>
      <c r="B28" s="12" t="s">
        <v>18</v>
      </c>
      <c r="C28" s="12" t="s">
        <v>19</v>
      </c>
      <c r="D28" s="19">
        <v>770</v>
      </c>
      <c r="E28" s="20">
        <v>2000</v>
      </c>
      <c r="F28" s="20">
        <v>1</v>
      </c>
      <c r="G28" s="20" t="s">
        <v>17</v>
      </c>
      <c r="H28" s="29">
        <f t="shared" si="1"/>
        <v>1.54</v>
      </c>
      <c r="I28" s="30" t="s">
        <v>20</v>
      </c>
      <c r="J28" s="31"/>
      <c r="K28" s="18"/>
    </row>
    <row r="29" spans="1:11" s="32" customFormat="1" ht="44.45" customHeight="1" x14ac:dyDescent="0.6">
      <c r="A29" s="1"/>
      <c r="B29" s="12" t="s">
        <v>18</v>
      </c>
      <c r="C29" s="12" t="s">
        <v>19</v>
      </c>
      <c r="D29" s="19">
        <v>500</v>
      </c>
      <c r="E29" s="20">
        <v>2010</v>
      </c>
      <c r="F29" s="20">
        <v>1</v>
      </c>
      <c r="G29" s="20" t="s">
        <v>17</v>
      </c>
      <c r="H29" s="29">
        <f t="shared" si="1"/>
        <v>1.0049999999999999</v>
      </c>
      <c r="I29" s="30" t="s">
        <v>20</v>
      </c>
      <c r="J29" s="31"/>
      <c r="K29" s="18"/>
    </row>
    <row r="30" spans="1:11" s="32" customFormat="1" ht="44.45" customHeight="1" x14ac:dyDescent="0.6">
      <c r="A30" s="1"/>
      <c r="B30" s="12" t="s">
        <v>18</v>
      </c>
      <c r="C30" s="12" t="s">
        <v>19</v>
      </c>
      <c r="D30" s="19">
        <v>960</v>
      </c>
      <c r="E30" s="20">
        <v>2440</v>
      </c>
      <c r="F30" s="20">
        <v>1</v>
      </c>
      <c r="G30" s="20" t="s">
        <v>17</v>
      </c>
      <c r="H30" s="29">
        <f t="shared" si="1"/>
        <v>2.3424</v>
      </c>
      <c r="I30" s="30" t="s">
        <v>20</v>
      </c>
      <c r="J30" s="31"/>
      <c r="K30" s="18"/>
    </row>
    <row r="31" spans="1:11" s="32" customFormat="1" ht="44.45" customHeight="1" x14ac:dyDescent="0.6">
      <c r="A31" s="1"/>
      <c r="B31" s="12" t="s">
        <v>18</v>
      </c>
      <c r="C31" s="12" t="s">
        <v>19</v>
      </c>
      <c r="D31" s="19">
        <v>1280</v>
      </c>
      <c r="E31" s="20">
        <v>2430</v>
      </c>
      <c r="F31" s="20">
        <v>1</v>
      </c>
      <c r="G31" s="20" t="s">
        <v>17</v>
      </c>
      <c r="H31" s="29">
        <f t="shared" si="1"/>
        <v>3.1103999999999998</v>
      </c>
      <c r="I31" s="30" t="s">
        <v>20</v>
      </c>
      <c r="J31" s="31"/>
      <c r="K31" s="18"/>
    </row>
    <row r="32" spans="1:11" s="32" customFormat="1" ht="44.45" customHeight="1" x14ac:dyDescent="0.6">
      <c r="A32" s="1"/>
      <c r="B32" s="12" t="s">
        <v>18</v>
      </c>
      <c r="C32" s="12" t="s">
        <v>19</v>
      </c>
      <c r="D32" s="19">
        <v>510</v>
      </c>
      <c r="E32" s="20">
        <v>1560</v>
      </c>
      <c r="F32" s="20">
        <v>1</v>
      </c>
      <c r="G32" s="20" t="s">
        <v>17</v>
      </c>
      <c r="H32" s="29">
        <f t="shared" si="1"/>
        <v>0.79559999999999997</v>
      </c>
      <c r="I32" s="30" t="s">
        <v>20</v>
      </c>
      <c r="J32" s="31"/>
      <c r="K32" s="18"/>
    </row>
    <row r="33" spans="1:11" s="32" customFormat="1" ht="44.45" customHeight="1" x14ac:dyDescent="0.6">
      <c r="A33" s="1"/>
      <c r="B33" s="12" t="s">
        <v>18</v>
      </c>
      <c r="C33" s="12" t="s">
        <v>19</v>
      </c>
      <c r="D33" s="19">
        <v>850</v>
      </c>
      <c r="E33" s="20">
        <v>2450</v>
      </c>
      <c r="F33" s="20">
        <v>1</v>
      </c>
      <c r="G33" s="20" t="s">
        <v>17</v>
      </c>
      <c r="H33" s="29">
        <f t="shared" si="1"/>
        <v>2.0825</v>
      </c>
      <c r="I33" s="30" t="s">
        <v>20</v>
      </c>
      <c r="J33" s="31"/>
      <c r="K33" s="18"/>
    </row>
    <row r="34" spans="1:11" s="32" customFormat="1" ht="44.45" customHeight="1" x14ac:dyDescent="0.6">
      <c r="A34" s="1"/>
      <c r="B34" s="12" t="s">
        <v>21</v>
      </c>
      <c r="C34" s="12" t="s">
        <v>22</v>
      </c>
      <c r="D34" s="19">
        <v>670</v>
      </c>
      <c r="E34" s="20">
        <v>1990</v>
      </c>
      <c r="F34" s="20">
        <v>1</v>
      </c>
      <c r="G34" s="20" t="s">
        <v>17</v>
      </c>
      <c r="H34" s="29">
        <f t="shared" si="1"/>
        <v>1.3332999999999999</v>
      </c>
      <c r="I34" s="30" t="s">
        <v>20</v>
      </c>
      <c r="J34" s="31"/>
      <c r="K34" s="18"/>
    </row>
    <row r="35" spans="1:11" s="32" customFormat="1" ht="44.45" customHeight="1" x14ac:dyDescent="0.6">
      <c r="A35" s="1"/>
      <c r="B35" s="12" t="s">
        <v>21</v>
      </c>
      <c r="C35" s="12" t="s">
        <v>22</v>
      </c>
      <c r="D35" s="19">
        <v>710</v>
      </c>
      <c r="E35" s="20">
        <v>2000</v>
      </c>
      <c r="F35" s="20">
        <v>1</v>
      </c>
      <c r="G35" s="20" t="s">
        <v>17</v>
      </c>
      <c r="H35" s="29">
        <f t="shared" si="1"/>
        <v>1.42</v>
      </c>
      <c r="I35" s="30" t="s">
        <v>20</v>
      </c>
      <c r="J35" s="31"/>
      <c r="K35" s="18"/>
    </row>
    <row r="36" spans="1:11" s="32" customFormat="1" ht="44.45" customHeight="1" x14ac:dyDescent="0.6">
      <c r="A36" s="1"/>
      <c r="B36" s="12" t="s">
        <v>18</v>
      </c>
      <c r="C36" s="12" t="s">
        <v>19</v>
      </c>
      <c r="D36" s="19">
        <v>2000</v>
      </c>
      <c r="E36" s="20">
        <v>1100</v>
      </c>
      <c r="F36" s="20">
        <v>1</v>
      </c>
      <c r="G36" s="20" t="s">
        <v>23</v>
      </c>
      <c r="H36" s="29">
        <f t="shared" si="1"/>
        <v>2.2000000000000002</v>
      </c>
      <c r="I36" s="30" t="s">
        <v>20</v>
      </c>
      <c r="J36" s="31"/>
      <c r="K36" s="18"/>
    </row>
    <row r="37" spans="1:11" s="32" customFormat="1" ht="44.45" customHeight="1" x14ac:dyDescent="0.6">
      <c r="A37" s="1"/>
      <c r="B37" s="12" t="s">
        <v>18</v>
      </c>
      <c r="C37" s="12" t="s">
        <v>19</v>
      </c>
      <c r="D37" s="19">
        <v>1000</v>
      </c>
      <c r="E37" s="20">
        <v>1000</v>
      </c>
      <c r="F37" s="20">
        <v>1</v>
      </c>
      <c r="G37" s="20" t="s">
        <v>23</v>
      </c>
      <c r="H37" s="29">
        <f t="shared" si="1"/>
        <v>1</v>
      </c>
      <c r="I37" s="30" t="s">
        <v>20</v>
      </c>
      <c r="J37" s="31"/>
      <c r="K37" s="18"/>
    </row>
    <row r="38" spans="1:11" s="32" customFormat="1" ht="44.25" x14ac:dyDescent="0.55000000000000004">
      <c r="A38" s="1"/>
      <c r="B38" s="12"/>
      <c r="C38" s="12"/>
      <c r="D38" s="33"/>
      <c r="E38" s="16"/>
      <c r="F38" s="34"/>
      <c r="G38" s="16"/>
      <c r="H38" s="35"/>
      <c r="I38" s="18"/>
      <c r="K38" s="18"/>
    </row>
    <row r="39" spans="1:11" s="32" customFormat="1" ht="44.25" x14ac:dyDescent="0.55000000000000004">
      <c r="A39" s="1"/>
      <c r="B39" s="12"/>
      <c r="C39" s="16"/>
      <c r="D39" s="33"/>
      <c r="E39" s="33"/>
      <c r="F39" s="16">
        <f>+SUM(F23:F38)</f>
        <v>22</v>
      </c>
      <c r="G39" s="16"/>
      <c r="H39" s="29">
        <f>+SUM(H23:H38)</f>
        <v>44.226500000000009</v>
      </c>
      <c r="I39" s="18"/>
      <c r="K39" s="18"/>
    </row>
    <row r="40" spans="1:11" ht="44.25" x14ac:dyDescent="0.55000000000000004">
      <c r="A40" s="11"/>
      <c r="B40" s="12"/>
      <c r="C40" s="12"/>
      <c r="D40" s="33"/>
      <c r="E40" s="33"/>
      <c r="F40" s="16"/>
      <c r="G40" s="16"/>
      <c r="H40" s="29"/>
      <c r="I40" s="24"/>
      <c r="J40" s="36"/>
    </row>
    <row r="41" spans="1:11" ht="44.25" x14ac:dyDescent="0.55000000000000004">
      <c r="A41" s="11"/>
      <c r="B41" s="12"/>
      <c r="C41" s="12"/>
      <c r="D41" s="41"/>
      <c r="E41" s="41"/>
      <c r="F41" s="16"/>
      <c r="G41" s="16"/>
      <c r="H41" s="29"/>
      <c r="I41" s="24"/>
      <c r="J41" s="36"/>
    </row>
  </sheetData>
  <mergeCells count="3">
    <mergeCell ref="D4:E4"/>
    <mergeCell ref="D22:E22"/>
    <mergeCell ref="D41:E41"/>
  </mergeCells>
  <printOptions horizontalCentered="1"/>
  <pageMargins left="0.19685039370078741" right="0.19685039370078741" top="0.39370078740157483" bottom="0.39370078740157483" header="0" footer="0"/>
  <pageSetup paperSize="9" scale="25" orientation="landscape" r:id="rId1"/>
  <headerFooter alignWithMargins="0">
    <oddFooter>&amp;L&amp;"-,Negrita"&amp;8Facundo Morazzo Cristales &amp; Aberturas&amp;R&amp;"-,Negrita"&amp;8&amp;F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O57"/>
  <sheetViews>
    <sheetView showGridLines="0" topLeftCell="B1" zoomScale="55" zoomScaleNormal="55" workbookViewId="0">
      <pane ySplit="4" topLeftCell="A15" activePane="bottomLeft" state="frozen"/>
      <selection activeCell="C17" sqref="C17"/>
      <selection pane="bottomLeft" activeCell="C17" sqref="C17"/>
    </sheetView>
  </sheetViews>
  <sheetFormatPr defaultColWidth="11.42578125" defaultRowHeight="37.5" x14ac:dyDescent="0.5"/>
  <cols>
    <col min="1" max="1" width="43.140625" style="1" customWidth="1"/>
    <col min="2" max="2" width="84.7109375" style="18" customWidth="1"/>
    <col min="3" max="3" width="114" style="18" bestFit="1" customWidth="1"/>
    <col min="4" max="4" width="42.5703125" style="18" bestFit="1" customWidth="1"/>
    <col min="5" max="5" width="25.28515625" style="18" customWidth="1"/>
    <col min="6" max="6" width="28.7109375" style="18" bestFit="1" customWidth="1"/>
    <col min="7" max="9" width="39.7109375" style="18" customWidth="1"/>
    <col min="10" max="10" width="39.7109375" style="32" customWidth="1"/>
    <col min="11" max="11" width="69.85546875" style="18" customWidth="1"/>
    <col min="12" max="12" width="17.7109375" style="18" bestFit="1" customWidth="1"/>
    <col min="13" max="16384" width="11.42578125" style="18"/>
  </cols>
  <sheetData>
    <row r="1" spans="1:15" s="6" customFormat="1" ht="49.5" x14ac:dyDescent="0.65">
      <c r="A1" s="1"/>
      <c r="B1" s="2" t="s">
        <v>0</v>
      </c>
      <c r="C1" s="3"/>
      <c r="D1" s="4">
        <v>46120</v>
      </c>
      <c r="E1" s="5"/>
      <c r="J1" s="7"/>
    </row>
    <row r="2" spans="1:15" s="6" customFormat="1" x14ac:dyDescent="0.5">
      <c r="A2" s="1"/>
      <c r="B2" s="2" t="s">
        <v>1</v>
      </c>
      <c r="C2" s="2"/>
      <c r="J2" s="7"/>
    </row>
    <row r="3" spans="1:15" s="6" customFormat="1" x14ac:dyDescent="0.5">
      <c r="A3" s="1"/>
      <c r="B3" s="7"/>
      <c r="D3" s="8"/>
      <c r="J3" s="7"/>
    </row>
    <row r="4" spans="1:15" s="6" customFormat="1" ht="51" x14ac:dyDescent="0.75">
      <c r="A4" s="1"/>
      <c r="B4" s="9" t="s">
        <v>2</v>
      </c>
      <c r="C4" s="9" t="s">
        <v>3</v>
      </c>
      <c r="D4" s="38" t="s">
        <v>4</v>
      </c>
      <c r="E4" s="38"/>
      <c r="F4" s="10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</row>
    <row r="5" spans="1:15" ht="49.5" x14ac:dyDescent="0.65">
      <c r="A5" s="11"/>
      <c r="B5" s="12" t="s">
        <v>24</v>
      </c>
      <c r="C5" s="12" t="s">
        <v>25</v>
      </c>
      <c r="D5" s="13">
        <v>985</v>
      </c>
      <c r="E5" s="13">
        <v>1722</v>
      </c>
      <c r="F5" s="14">
        <v>1</v>
      </c>
      <c r="G5" s="15">
        <v>4</v>
      </c>
      <c r="H5" s="16">
        <v>12</v>
      </c>
      <c r="I5" s="15">
        <v>4</v>
      </c>
      <c r="J5" s="17">
        <f t="shared" ref="J5:J27" si="0">+D5*E5/1000000*2*F5</f>
        <v>3.3923399999999999</v>
      </c>
      <c r="K5" s="3"/>
      <c r="L5" s="6"/>
      <c r="M5" s="6"/>
      <c r="N5" s="6"/>
      <c r="O5" s="6"/>
    </row>
    <row r="6" spans="1:15" ht="49.5" x14ac:dyDescent="0.65">
      <c r="A6" s="11"/>
      <c r="B6" s="12" t="s">
        <v>24</v>
      </c>
      <c r="C6" s="12" t="s">
        <v>25</v>
      </c>
      <c r="D6" s="13">
        <v>595</v>
      </c>
      <c r="E6" s="13">
        <v>1860</v>
      </c>
      <c r="F6" s="14">
        <v>2</v>
      </c>
      <c r="G6" s="15">
        <v>4</v>
      </c>
      <c r="H6" s="16">
        <v>12</v>
      </c>
      <c r="I6" s="15">
        <v>4</v>
      </c>
      <c r="J6" s="17">
        <f t="shared" si="0"/>
        <v>4.4268000000000001</v>
      </c>
      <c r="K6" s="3"/>
      <c r="L6" s="6"/>
      <c r="M6" s="6"/>
      <c r="N6" s="6"/>
      <c r="O6" s="6"/>
    </row>
    <row r="7" spans="1:15" ht="49.5" x14ac:dyDescent="0.65">
      <c r="A7" s="11"/>
      <c r="B7" s="12" t="s">
        <v>24</v>
      </c>
      <c r="C7" s="12" t="s">
        <v>25</v>
      </c>
      <c r="D7" s="13">
        <v>1082</v>
      </c>
      <c r="E7" s="13">
        <v>1994</v>
      </c>
      <c r="F7" s="14">
        <v>1</v>
      </c>
      <c r="G7" s="15">
        <v>4</v>
      </c>
      <c r="H7" s="16">
        <v>12</v>
      </c>
      <c r="I7" s="15">
        <v>4</v>
      </c>
      <c r="J7" s="17">
        <f t="shared" si="0"/>
        <v>4.315016</v>
      </c>
      <c r="K7" s="3"/>
      <c r="L7" s="6"/>
      <c r="M7" s="6"/>
      <c r="N7" s="6"/>
      <c r="O7" s="6"/>
    </row>
    <row r="8" spans="1:15" ht="49.5" x14ac:dyDescent="0.65">
      <c r="A8" s="11"/>
      <c r="B8" s="12" t="s">
        <v>24</v>
      </c>
      <c r="C8" s="12" t="s">
        <v>25</v>
      </c>
      <c r="D8" s="13">
        <v>1053</v>
      </c>
      <c r="E8" s="13">
        <v>1994</v>
      </c>
      <c r="F8" s="14">
        <v>1</v>
      </c>
      <c r="G8" s="15">
        <v>4</v>
      </c>
      <c r="H8" s="16">
        <v>12</v>
      </c>
      <c r="I8" s="15">
        <v>4</v>
      </c>
      <c r="J8" s="17">
        <f t="shared" si="0"/>
        <v>4.1993640000000001</v>
      </c>
      <c r="K8" s="3"/>
      <c r="L8" s="6"/>
      <c r="M8" s="6"/>
      <c r="N8" s="6"/>
      <c r="O8" s="6"/>
    </row>
    <row r="9" spans="1:15" ht="47.25" x14ac:dyDescent="0.6">
      <c r="A9" s="11"/>
      <c r="B9" s="12" t="s">
        <v>24</v>
      </c>
      <c r="C9" s="12" t="s">
        <v>25</v>
      </c>
      <c r="D9" s="19">
        <v>2054</v>
      </c>
      <c r="E9" s="20">
        <v>1712</v>
      </c>
      <c r="F9" s="20">
        <v>1</v>
      </c>
      <c r="G9" s="20" t="s">
        <v>26</v>
      </c>
      <c r="H9" s="16">
        <v>12</v>
      </c>
      <c r="I9" s="15">
        <v>5</v>
      </c>
      <c r="J9" s="17">
        <f t="shared" si="0"/>
        <v>7.032896</v>
      </c>
      <c r="K9" s="3"/>
      <c r="L9" s="6"/>
      <c r="M9" s="6"/>
      <c r="N9" s="6"/>
      <c r="O9" s="6"/>
    </row>
    <row r="10" spans="1:15" ht="47.25" x14ac:dyDescent="0.6">
      <c r="A10" s="11"/>
      <c r="B10" s="12" t="s">
        <v>24</v>
      </c>
      <c r="C10" s="12" t="s">
        <v>25</v>
      </c>
      <c r="D10" s="19">
        <v>2089</v>
      </c>
      <c r="E10" s="20">
        <v>1712</v>
      </c>
      <c r="F10" s="20">
        <v>1</v>
      </c>
      <c r="G10" s="20" t="s">
        <v>26</v>
      </c>
      <c r="H10" s="16">
        <v>12</v>
      </c>
      <c r="I10" s="15">
        <v>5</v>
      </c>
      <c r="J10" s="17">
        <f t="shared" si="0"/>
        <v>7.152736</v>
      </c>
      <c r="K10" s="3"/>
      <c r="L10" s="6"/>
      <c r="M10" s="6"/>
      <c r="N10" s="6"/>
      <c r="O10" s="6"/>
    </row>
    <row r="11" spans="1:15" ht="47.25" x14ac:dyDescent="0.6">
      <c r="A11" s="11"/>
      <c r="B11" s="12" t="s">
        <v>24</v>
      </c>
      <c r="C11" s="12" t="s">
        <v>25</v>
      </c>
      <c r="D11" s="19">
        <v>388</v>
      </c>
      <c r="E11" s="20">
        <v>938</v>
      </c>
      <c r="F11" s="20">
        <v>2</v>
      </c>
      <c r="G11" s="20">
        <v>4</v>
      </c>
      <c r="H11" s="16">
        <v>12</v>
      </c>
      <c r="I11" s="15">
        <v>4</v>
      </c>
      <c r="J11" s="17">
        <f t="shared" si="0"/>
        <v>1.455776</v>
      </c>
      <c r="K11" s="3"/>
      <c r="L11" s="6"/>
      <c r="M11" s="6"/>
      <c r="N11" s="6"/>
      <c r="O11" s="6"/>
    </row>
    <row r="12" spans="1:15" ht="47.25" x14ac:dyDescent="0.6">
      <c r="A12" s="11"/>
      <c r="B12" s="12" t="s">
        <v>24</v>
      </c>
      <c r="C12" s="12" t="s">
        <v>25</v>
      </c>
      <c r="D12" s="19">
        <v>684</v>
      </c>
      <c r="E12" s="20">
        <v>1722</v>
      </c>
      <c r="F12" s="20">
        <v>1</v>
      </c>
      <c r="G12" s="20">
        <v>4</v>
      </c>
      <c r="H12" s="16">
        <v>12</v>
      </c>
      <c r="I12" s="15">
        <v>4</v>
      </c>
      <c r="J12" s="17">
        <f t="shared" si="0"/>
        <v>2.355696</v>
      </c>
      <c r="K12" s="3"/>
      <c r="L12" s="6"/>
      <c r="M12" s="6"/>
      <c r="N12" s="6"/>
      <c r="O12" s="6"/>
    </row>
    <row r="13" spans="1:15" ht="47.25" x14ac:dyDescent="0.6">
      <c r="A13" s="11"/>
      <c r="B13" s="12" t="s">
        <v>24</v>
      </c>
      <c r="C13" s="12" t="s">
        <v>25</v>
      </c>
      <c r="D13" s="19">
        <v>948</v>
      </c>
      <c r="E13" s="20">
        <v>1911</v>
      </c>
      <c r="F13" s="20">
        <v>2</v>
      </c>
      <c r="G13" s="20" t="s">
        <v>26</v>
      </c>
      <c r="H13" s="16">
        <v>9</v>
      </c>
      <c r="I13" s="15">
        <v>5</v>
      </c>
      <c r="J13" s="17">
        <f t="shared" si="0"/>
        <v>7.2465120000000001</v>
      </c>
      <c r="K13" s="3"/>
      <c r="L13" s="6"/>
      <c r="M13" s="6"/>
      <c r="N13" s="6"/>
      <c r="O13" s="6"/>
    </row>
    <row r="14" spans="1:15" ht="47.25" x14ac:dyDescent="0.6">
      <c r="A14" s="11"/>
      <c r="B14" s="12" t="s">
        <v>24</v>
      </c>
      <c r="C14" s="12" t="s">
        <v>25</v>
      </c>
      <c r="D14" s="19">
        <v>483</v>
      </c>
      <c r="E14" s="20">
        <v>946</v>
      </c>
      <c r="F14" s="20">
        <v>1</v>
      </c>
      <c r="G14" s="20">
        <v>4</v>
      </c>
      <c r="H14" s="16">
        <v>12</v>
      </c>
      <c r="I14" s="15">
        <v>4</v>
      </c>
      <c r="J14" s="17">
        <f t="shared" si="0"/>
        <v>0.91383599999999998</v>
      </c>
      <c r="K14" s="3"/>
      <c r="L14" s="6"/>
      <c r="M14" s="6"/>
      <c r="N14" s="6"/>
      <c r="O14" s="6"/>
    </row>
    <row r="15" spans="1:15" ht="47.25" x14ac:dyDescent="0.6">
      <c r="A15" s="11"/>
      <c r="B15" s="12" t="s">
        <v>24</v>
      </c>
      <c r="C15" s="12" t="s">
        <v>25</v>
      </c>
      <c r="D15" s="19">
        <v>563</v>
      </c>
      <c r="E15" s="20">
        <v>918</v>
      </c>
      <c r="F15" s="20">
        <v>1</v>
      </c>
      <c r="G15" s="20">
        <v>4</v>
      </c>
      <c r="H15" s="16">
        <v>12</v>
      </c>
      <c r="I15" s="15">
        <v>4</v>
      </c>
      <c r="J15" s="17">
        <f t="shared" si="0"/>
        <v>1.033668</v>
      </c>
      <c r="K15" s="3"/>
      <c r="L15" s="6"/>
      <c r="M15" s="6"/>
      <c r="N15" s="6"/>
      <c r="O15" s="6"/>
    </row>
    <row r="16" spans="1:15" ht="47.25" x14ac:dyDescent="0.6">
      <c r="A16" s="11"/>
      <c r="B16" s="12" t="s">
        <v>24</v>
      </c>
      <c r="C16" s="12" t="s">
        <v>25</v>
      </c>
      <c r="D16" s="19">
        <v>663</v>
      </c>
      <c r="E16" s="20">
        <v>860</v>
      </c>
      <c r="F16" s="20">
        <v>1</v>
      </c>
      <c r="G16" s="20">
        <v>4</v>
      </c>
      <c r="H16" s="16">
        <v>12</v>
      </c>
      <c r="I16" s="15">
        <v>4</v>
      </c>
      <c r="J16" s="17">
        <f t="shared" si="0"/>
        <v>1.14036</v>
      </c>
      <c r="K16" s="3"/>
      <c r="L16" s="6"/>
      <c r="M16" s="6"/>
      <c r="N16" s="6"/>
      <c r="O16" s="6"/>
    </row>
    <row r="17" spans="1:15" ht="47.25" x14ac:dyDescent="0.6">
      <c r="A17" s="11"/>
      <c r="B17" s="12" t="s">
        <v>24</v>
      </c>
      <c r="C17" s="12" t="s">
        <v>25</v>
      </c>
      <c r="D17" s="19">
        <v>797</v>
      </c>
      <c r="E17" s="20">
        <v>994</v>
      </c>
      <c r="F17" s="20">
        <v>1</v>
      </c>
      <c r="G17" s="20">
        <v>4</v>
      </c>
      <c r="H17" s="16">
        <v>12</v>
      </c>
      <c r="I17" s="15">
        <v>4</v>
      </c>
      <c r="J17" s="17">
        <f t="shared" si="0"/>
        <v>1.584436</v>
      </c>
      <c r="K17" s="3"/>
      <c r="L17" s="6"/>
      <c r="M17" s="6"/>
      <c r="N17" s="6"/>
      <c r="O17" s="6"/>
    </row>
    <row r="18" spans="1:15" ht="47.25" x14ac:dyDescent="0.6">
      <c r="A18" s="11"/>
      <c r="B18" s="12" t="s">
        <v>24</v>
      </c>
      <c r="C18" s="12" t="s">
        <v>25</v>
      </c>
      <c r="D18" s="19">
        <v>623</v>
      </c>
      <c r="E18" s="20">
        <v>1338</v>
      </c>
      <c r="F18" s="20">
        <v>1</v>
      </c>
      <c r="G18" s="20">
        <v>4</v>
      </c>
      <c r="H18" s="16">
        <v>12</v>
      </c>
      <c r="I18" s="15">
        <v>4</v>
      </c>
      <c r="J18" s="17">
        <f t="shared" si="0"/>
        <v>1.6671480000000001</v>
      </c>
      <c r="K18" s="3"/>
      <c r="L18" s="6"/>
      <c r="M18" s="6"/>
      <c r="N18" s="6"/>
      <c r="O18" s="6"/>
    </row>
    <row r="19" spans="1:15" ht="47.25" x14ac:dyDescent="0.6">
      <c r="A19" s="11"/>
      <c r="B19" s="12" t="s">
        <v>24</v>
      </c>
      <c r="C19" s="12" t="s">
        <v>25</v>
      </c>
      <c r="D19" s="19">
        <v>1118</v>
      </c>
      <c r="E19" s="20">
        <v>1444</v>
      </c>
      <c r="F19" s="20">
        <v>1</v>
      </c>
      <c r="G19" s="20">
        <v>4</v>
      </c>
      <c r="H19" s="16">
        <v>12</v>
      </c>
      <c r="I19" s="15">
        <v>4</v>
      </c>
      <c r="J19" s="17">
        <f t="shared" si="0"/>
        <v>3.2287840000000001</v>
      </c>
      <c r="K19" s="3"/>
      <c r="L19" s="6"/>
      <c r="M19" s="6"/>
      <c r="N19" s="6"/>
      <c r="O19" s="6"/>
    </row>
    <row r="20" spans="1:15" ht="47.25" x14ac:dyDescent="0.6">
      <c r="A20" s="11"/>
      <c r="B20" s="12" t="s">
        <v>24</v>
      </c>
      <c r="C20" s="12" t="s">
        <v>25</v>
      </c>
      <c r="D20" s="19">
        <v>1894</v>
      </c>
      <c r="E20" s="20">
        <v>1436</v>
      </c>
      <c r="F20" s="20">
        <v>1</v>
      </c>
      <c r="G20" s="20" t="s">
        <v>26</v>
      </c>
      <c r="H20" s="16">
        <v>12</v>
      </c>
      <c r="I20" s="15">
        <v>5</v>
      </c>
      <c r="J20" s="17">
        <f t="shared" si="0"/>
        <v>5.4395680000000004</v>
      </c>
      <c r="K20" s="3"/>
      <c r="L20" s="6"/>
      <c r="M20" s="6"/>
      <c r="N20" s="6"/>
      <c r="O20" s="6"/>
    </row>
    <row r="21" spans="1:15" ht="47.25" x14ac:dyDescent="0.6">
      <c r="A21" s="11"/>
      <c r="B21" s="12" t="s">
        <v>27</v>
      </c>
      <c r="C21" s="12" t="s">
        <v>28</v>
      </c>
      <c r="D21" s="19">
        <v>820</v>
      </c>
      <c r="E21" s="20">
        <v>1775</v>
      </c>
      <c r="F21" s="20">
        <v>1</v>
      </c>
      <c r="G21" s="20">
        <v>4</v>
      </c>
      <c r="H21" s="16">
        <v>9</v>
      </c>
      <c r="I21" s="15">
        <v>4</v>
      </c>
      <c r="J21" s="17">
        <f t="shared" si="0"/>
        <v>2.911</v>
      </c>
      <c r="K21" s="3"/>
      <c r="L21" s="6"/>
      <c r="M21" s="6"/>
      <c r="N21" s="6"/>
      <c r="O21" s="6"/>
    </row>
    <row r="22" spans="1:15" ht="47.25" x14ac:dyDescent="0.6">
      <c r="A22" s="11"/>
      <c r="B22" s="12" t="s">
        <v>27</v>
      </c>
      <c r="C22" s="12" t="s">
        <v>28</v>
      </c>
      <c r="D22" s="19">
        <v>320</v>
      </c>
      <c r="E22" s="20">
        <v>730</v>
      </c>
      <c r="F22" s="20">
        <v>1</v>
      </c>
      <c r="G22" s="20">
        <v>4</v>
      </c>
      <c r="H22" s="16">
        <v>9</v>
      </c>
      <c r="I22" s="15">
        <v>4</v>
      </c>
      <c r="J22" s="17">
        <f t="shared" si="0"/>
        <v>0.4672</v>
      </c>
      <c r="K22" s="3"/>
      <c r="L22" s="6"/>
      <c r="M22" s="6"/>
      <c r="N22" s="6"/>
      <c r="O22" s="6"/>
    </row>
    <row r="23" spans="1:15" ht="47.25" x14ac:dyDescent="0.6">
      <c r="A23" s="11"/>
      <c r="B23" s="12" t="s">
        <v>27</v>
      </c>
      <c r="C23" s="12" t="s">
        <v>28</v>
      </c>
      <c r="D23" s="19">
        <v>470</v>
      </c>
      <c r="E23" s="20">
        <v>930</v>
      </c>
      <c r="F23" s="20">
        <v>1</v>
      </c>
      <c r="G23" s="20">
        <v>4</v>
      </c>
      <c r="H23" s="16">
        <v>9</v>
      </c>
      <c r="I23" s="15">
        <v>4</v>
      </c>
      <c r="J23" s="17">
        <f t="shared" si="0"/>
        <v>0.87419999999999998</v>
      </c>
      <c r="K23" s="3"/>
      <c r="L23" s="6"/>
      <c r="M23" s="6"/>
      <c r="N23" s="6"/>
      <c r="O23" s="6"/>
    </row>
    <row r="24" spans="1:15" ht="47.25" x14ac:dyDescent="0.6">
      <c r="A24" s="11"/>
      <c r="B24" s="12" t="s">
        <v>29</v>
      </c>
      <c r="C24" s="12" t="s">
        <v>30</v>
      </c>
      <c r="D24" s="19">
        <v>918</v>
      </c>
      <c r="E24" s="20">
        <v>665</v>
      </c>
      <c r="F24" s="20">
        <v>4</v>
      </c>
      <c r="G24" s="20">
        <v>4</v>
      </c>
      <c r="H24" s="16">
        <v>9</v>
      </c>
      <c r="I24" s="15">
        <v>4</v>
      </c>
      <c r="J24" s="17">
        <f t="shared" si="0"/>
        <v>4.8837599999999997</v>
      </c>
      <c r="K24" s="3" t="s">
        <v>31</v>
      </c>
      <c r="L24" s="6"/>
      <c r="M24" s="6"/>
      <c r="N24" s="6"/>
      <c r="O24" s="6"/>
    </row>
    <row r="25" spans="1:15" ht="47.25" x14ac:dyDescent="0.6">
      <c r="A25" s="11"/>
      <c r="B25" s="12" t="s">
        <v>32</v>
      </c>
      <c r="C25" s="12" t="s">
        <v>33</v>
      </c>
      <c r="D25" s="19">
        <v>610</v>
      </c>
      <c r="E25" s="20">
        <v>200</v>
      </c>
      <c r="F25" s="20">
        <v>1</v>
      </c>
      <c r="G25" s="20">
        <v>4</v>
      </c>
      <c r="H25" s="16">
        <v>12</v>
      </c>
      <c r="I25" s="15">
        <v>4</v>
      </c>
      <c r="J25" s="17">
        <f t="shared" si="0"/>
        <v>0.24399999999999999</v>
      </c>
      <c r="K25" s="3"/>
      <c r="L25" s="6"/>
      <c r="M25" s="6"/>
      <c r="N25" s="6"/>
      <c r="O25" s="6"/>
    </row>
    <row r="26" spans="1:15" ht="47.25" x14ac:dyDescent="0.6">
      <c r="A26" s="11"/>
      <c r="B26" s="12" t="s">
        <v>32</v>
      </c>
      <c r="C26" s="12" t="s">
        <v>33</v>
      </c>
      <c r="D26" s="19">
        <v>755</v>
      </c>
      <c r="E26" s="20">
        <v>275</v>
      </c>
      <c r="F26" s="20">
        <v>1</v>
      </c>
      <c r="G26" s="20">
        <v>4</v>
      </c>
      <c r="H26" s="16">
        <v>12</v>
      </c>
      <c r="I26" s="15">
        <v>4</v>
      </c>
      <c r="J26" s="17">
        <f t="shared" si="0"/>
        <v>0.41525000000000001</v>
      </c>
      <c r="K26" s="3"/>
      <c r="L26" s="6"/>
      <c r="M26" s="6"/>
      <c r="N26" s="6"/>
      <c r="O26" s="6"/>
    </row>
    <row r="27" spans="1:15" ht="47.25" x14ac:dyDescent="0.6">
      <c r="A27" s="11"/>
      <c r="B27" s="12" t="s">
        <v>32</v>
      </c>
      <c r="C27" s="12" t="s">
        <v>34</v>
      </c>
      <c r="D27" s="19">
        <v>523</v>
      </c>
      <c r="E27" s="20">
        <v>1770</v>
      </c>
      <c r="F27" s="20">
        <v>2</v>
      </c>
      <c r="G27" s="20">
        <v>4</v>
      </c>
      <c r="H27" s="16">
        <v>9</v>
      </c>
      <c r="I27" s="15">
        <v>4</v>
      </c>
      <c r="J27" s="17">
        <f t="shared" si="0"/>
        <v>3.7028400000000001</v>
      </c>
      <c r="K27" s="3"/>
      <c r="L27" s="6"/>
      <c r="M27" s="6"/>
      <c r="N27" s="6"/>
      <c r="O27" s="6"/>
    </row>
    <row r="28" spans="1:15" ht="49.5" x14ac:dyDescent="0.65">
      <c r="A28" s="11"/>
      <c r="B28" s="12"/>
      <c r="C28" s="12"/>
      <c r="D28" s="13"/>
      <c r="E28" s="13"/>
      <c r="F28" s="21"/>
      <c r="G28" s="15"/>
      <c r="H28" s="16"/>
      <c r="I28" s="15"/>
      <c r="J28" s="22"/>
      <c r="K28" s="1"/>
    </row>
    <row r="29" spans="1:15" ht="49.5" x14ac:dyDescent="0.65">
      <c r="A29" s="11"/>
      <c r="B29" s="12"/>
      <c r="C29" s="12"/>
      <c r="D29" s="14"/>
      <c r="E29" s="14"/>
      <c r="F29" s="13">
        <f>SUM(F5:F28)</f>
        <v>30</v>
      </c>
      <c r="G29" s="16"/>
      <c r="H29" s="23"/>
      <c r="I29" s="15"/>
      <c r="J29" s="17">
        <f>+SUM(J5:J28)</f>
        <v>70.083185999999998</v>
      </c>
      <c r="K29" s="17"/>
    </row>
    <row r="30" spans="1:15" x14ac:dyDescent="0.5">
      <c r="H30" s="18">
        <v>5</v>
      </c>
      <c r="J30" s="17">
        <f>+J29/2</f>
        <v>35.041592999999999</v>
      </c>
    </row>
    <row r="31" spans="1:15" ht="45" x14ac:dyDescent="0.6">
      <c r="B31" s="24"/>
      <c r="D31" s="12">
        <f>+D1</f>
        <v>46120</v>
      </c>
      <c r="E31" s="25"/>
      <c r="F31" s="26"/>
      <c r="J31" s="17"/>
    </row>
    <row r="32" spans="1:15" ht="24.75" customHeight="1" x14ac:dyDescent="0.55000000000000004">
      <c r="D32" s="12"/>
      <c r="J32" s="17"/>
    </row>
    <row r="33" spans="1:11" ht="46.5" x14ac:dyDescent="0.7">
      <c r="B33" s="27" t="s">
        <v>2</v>
      </c>
      <c r="C33" s="27" t="s">
        <v>3</v>
      </c>
      <c r="D33" s="39" t="s">
        <v>4</v>
      </c>
      <c r="E33" s="40"/>
      <c r="F33" s="27" t="s">
        <v>11</v>
      </c>
      <c r="G33" s="27" t="s">
        <v>12</v>
      </c>
      <c r="H33" s="27" t="s">
        <v>9</v>
      </c>
      <c r="I33" s="27" t="s">
        <v>13</v>
      </c>
      <c r="J33" s="28"/>
    </row>
    <row r="34" spans="1:11" s="32" customFormat="1" ht="44.45" customHeight="1" x14ac:dyDescent="0.6">
      <c r="A34" s="1"/>
      <c r="B34" s="12" t="s">
        <v>35</v>
      </c>
      <c r="C34" s="12" t="s">
        <v>36</v>
      </c>
      <c r="D34" s="19">
        <v>961</v>
      </c>
      <c r="E34" s="20">
        <v>2500</v>
      </c>
      <c r="F34" s="20">
        <v>1</v>
      </c>
      <c r="G34" s="20" t="s">
        <v>37</v>
      </c>
      <c r="H34" s="29">
        <f t="shared" ref="H34:H53" si="1">+(D34*E34*F34)/1000000</f>
        <v>2.4024999999999999</v>
      </c>
      <c r="I34" s="30" t="s">
        <v>38</v>
      </c>
      <c r="J34" s="31"/>
      <c r="K34" s="18"/>
    </row>
    <row r="35" spans="1:11" s="32" customFormat="1" ht="44.45" customHeight="1" x14ac:dyDescent="0.6">
      <c r="A35" s="1"/>
      <c r="B35" s="12" t="s">
        <v>35</v>
      </c>
      <c r="C35" s="12" t="s">
        <v>36</v>
      </c>
      <c r="D35" s="19">
        <v>1166</v>
      </c>
      <c r="E35" s="20">
        <v>1872</v>
      </c>
      <c r="F35" s="20">
        <v>1</v>
      </c>
      <c r="G35" s="20" t="s">
        <v>37</v>
      </c>
      <c r="H35" s="29">
        <f t="shared" si="1"/>
        <v>2.1827519999999998</v>
      </c>
      <c r="I35" s="30" t="s">
        <v>38</v>
      </c>
      <c r="J35" s="31"/>
      <c r="K35" s="18"/>
    </row>
    <row r="36" spans="1:11" s="32" customFormat="1" ht="44.45" customHeight="1" x14ac:dyDescent="0.6">
      <c r="A36" s="1"/>
      <c r="B36" s="12" t="s">
        <v>39</v>
      </c>
      <c r="C36" s="12" t="s">
        <v>40</v>
      </c>
      <c r="D36" s="19">
        <v>775</v>
      </c>
      <c r="E36" s="20">
        <v>830</v>
      </c>
      <c r="F36" s="20">
        <v>2</v>
      </c>
      <c r="G36" s="20" t="s">
        <v>26</v>
      </c>
      <c r="H36" s="29">
        <f t="shared" si="1"/>
        <v>1.2865</v>
      </c>
      <c r="I36" s="30"/>
      <c r="J36" s="31"/>
      <c r="K36" s="18"/>
    </row>
    <row r="37" spans="1:11" s="32" customFormat="1" ht="44.45" customHeight="1" x14ac:dyDescent="0.6">
      <c r="A37" s="1"/>
      <c r="B37" s="12" t="s">
        <v>39</v>
      </c>
      <c r="C37" s="12" t="s">
        <v>40</v>
      </c>
      <c r="D37" s="19">
        <v>720</v>
      </c>
      <c r="E37" s="20">
        <v>1584</v>
      </c>
      <c r="F37" s="20">
        <v>2</v>
      </c>
      <c r="G37" s="20" t="s">
        <v>26</v>
      </c>
      <c r="H37" s="29">
        <f t="shared" si="1"/>
        <v>2.2809599999999999</v>
      </c>
      <c r="I37" s="30"/>
      <c r="J37" s="31"/>
      <c r="K37" s="18"/>
    </row>
    <row r="38" spans="1:11" s="32" customFormat="1" ht="44.45" customHeight="1" x14ac:dyDescent="0.6">
      <c r="A38" s="1"/>
      <c r="B38" s="12" t="s">
        <v>39</v>
      </c>
      <c r="C38" s="12" t="s">
        <v>40</v>
      </c>
      <c r="D38" s="19">
        <v>695</v>
      </c>
      <c r="E38" s="20">
        <v>1584</v>
      </c>
      <c r="F38" s="20">
        <v>2</v>
      </c>
      <c r="G38" s="20" t="s">
        <v>26</v>
      </c>
      <c r="H38" s="29">
        <f t="shared" si="1"/>
        <v>2.2017600000000002</v>
      </c>
      <c r="I38" s="30"/>
      <c r="J38" s="31"/>
      <c r="K38" s="18"/>
    </row>
    <row r="39" spans="1:11" s="32" customFormat="1" ht="44.45" customHeight="1" x14ac:dyDescent="0.6">
      <c r="A39" s="1"/>
      <c r="B39" s="12" t="s">
        <v>39</v>
      </c>
      <c r="C39" s="12" t="s">
        <v>40</v>
      </c>
      <c r="D39" s="19">
        <v>800</v>
      </c>
      <c r="E39" s="20">
        <v>1660</v>
      </c>
      <c r="F39" s="20">
        <v>4</v>
      </c>
      <c r="G39" s="20" t="s">
        <v>26</v>
      </c>
      <c r="H39" s="29">
        <f t="shared" si="1"/>
        <v>5.3120000000000003</v>
      </c>
      <c r="I39" s="30"/>
      <c r="J39" s="31"/>
      <c r="K39" s="18"/>
    </row>
    <row r="40" spans="1:11" s="32" customFormat="1" ht="44.45" customHeight="1" x14ac:dyDescent="0.6">
      <c r="A40" s="1"/>
      <c r="B40" s="12" t="s">
        <v>39</v>
      </c>
      <c r="C40" s="12" t="s">
        <v>40</v>
      </c>
      <c r="D40" s="19">
        <v>800</v>
      </c>
      <c r="E40" s="20">
        <v>825</v>
      </c>
      <c r="F40" s="20">
        <v>6</v>
      </c>
      <c r="G40" s="20" t="s">
        <v>26</v>
      </c>
      <c r="H40" s="29">
        <f t="shared" si="1"/>
        <v>3.96</v>
      </c>
      <c r="I40" s="30"/>
      <c r="J40" s="31"/>
      <c r="K40" s="18"/>
    </row>
    <row r="41" spans="1:11" s="32" customFormat="1" ht="44.45" customHeight="1" x14ac:dyDescent="0.6">
      <c r="A41" s="1"/>
      <c r="B41" s="12" t="s">
        <v>39</v>
      </c>
      <c r="C41" s="12" t="s">
        <v>40</v>
      </c>
      <c r="D41" s="19">
        <v>800</v>
      </c>
      <c r="E41" s="20">
        <v>1590</v>
      </c>
      <c r="F41" s="20">
        <v>2</v>
      </c>
      <c r="G41" s="20" t="s">
        <v>26</v>
      </c>
      <c r="H41" s="29">
        <f t="shared" si="1"/>
        <v>2.544</v>
      </c>
      <c r="I41" s="30"/>
      <c r="J41" s="31"/>
      <c r="K41" s="18"/>
    </row>
    <row r="42" spans="1:11" s="32" customFormat="1" ht="44.45" customHeight="1" x14ac:dyDescent="0.6">
      <c r="A42" s="1"/>
      <c r="B42" s="12" t="s">
        <v>39</v>
      </c>
      <c r="C42" s="12" t="s">
        <v>40</v>
      </c>
      <c r="D42" s="19">
        <v>785</v>
      </c>
      <c r="E42" s="20">
        <v>1590</v>
      </c>
      <c r="F42" s="20">
        <v>2</v>
      </c>
      <c r="G42" s="20" t="s">
        <v>26</v>
      </c>
      <c r="H42" s="29">
        <f t="shared" si="1"/>
        <v>2.4963000000000002</v>
      </c>
      <c r="I42" s="30"/>
      <c r="J42" s="31"/>
      <c r="K42" s="18"/>
    </row>
    <row r="43" spans="1:11" s="32" customFormat="1" ht="44.45" customHeight="1" x14ac:dyDescent="0.6">
      <c r="A43" s="1"/>
      <c r="B43" s="12" t="s">
        <v>39</v>
      </c>
      <c r="C43" s="12" t="s">
        <v>40</v>
      </c>
      <c r="D43" s="19">
        <v>785</v>
      </c>
      <c r="E43" s="20">
        <v>725</v>
      </c>
      <c r="F43" s="20">
        <v>2</v>
      </c>
      <c r="G43" s="20" t="s">
        <v>26</v>
      </c>
      <c r="H43" s="29">
        <f t="shared" si="1"/>
        <v>1.13825</v>
      </c>
      <c r="I43" s="30"/>
      <c r="J43" s="31"/>
      <c r="K43" s="18"/>
    </row>
    <row r="44" spans="1:11" s="32" customFormat="1" ht="44.45" customHeight="1" x14ac:dyDescent="0.6">
      <c r="A44" s="1"/>
      <c r="B44" s="12" t="s">
        <v>39</v>
      </c>
      <c r="C44" s="12" t="s">
        <v>40</v>
      </c>
      <c r="D44" s="19">
        <v>800</v>
      </c>
      <c r="E44" s="20">
        <v>725</v>
      </c>
      <c r="F44" s="20">
        <v>2</v>
      </c>
      <c r="G44" s="20" t="s">
        <v>26</v>
      </c>
      <c r="H44" s="29">
        <f t="shared" si="1"/>
        <v>1.1599999999999999</v>
      </c>
      <c r="I44" s="30"/>
      <c r="J44" s="31"/>
      <c r="K44" s="18"/>
    </row>
    <row r="45" spans="1:11" s="32" customFormat="1" ht="44.45" customHeight="1" x14ac:dyDescent="0.6">
      <c r="A45" s="1"/>
      <c r="B45" s="12" t="s">
        <v>41</v>
      </c>
      <c r="C45" s="12" t="s">
        <v>22</v>
      </c>
      <c r="D45" s="19">
        <v>700</v>
      </c>
      <c r="E45" s="20">
        <v>850</v>
      </c>
      <c r="F45" s="20">
        <v>1</v>
      </c>
      <c r="G45" s="20" t="s">
        <v>23</v>
      </c>
      <c r="H45" s="29">
        <f t="shared" si="1"/>
        <v>0.59499999999999997</v>
      </c>
      <c r="I45" s="30" t="s">
        <v>20</v>
      </c>
      <c r="J45" s="31"/>
      <c r="K45" s="18"/>
    </row>
    <row r="46" spans="1:11" s="32" customFormat="1" ht="44.45" customHeight="1" x14ac:dyDescent="0.6">
      <c r="A46" s="1"/>
      <c r="B46" s="12" t="s">
        <v>41</v>
      </c>
      <c r="C46" s="12" t="s">
        <v>22</v>
      </c>
      <c r="D46" s="19">
        <v>410</v>
      </c>
      <c r="E46" s="20">
        <v>2000</v>
      </c>
      <c r="F46" s="20">
        <v>2</v>
      </c>
      <c r="G46" s="20" t="s">
        <v>17</v>
      </c>
      <c r="H46" s="29">
        <f t="shared" si="1"/>
        <v>1.64</v>
      </c>
      <c r="I46" s="30" t="s">
        <v>20</v>
      </c>
      <c r="J46" s="31"/>
      <c r="K46" s="18"/>
    </row>
    <row r="47" spans="1:11" s="32" customFormat="1" ht="44.45" customHeight="1" x14ac:dyDescent="0.6">
      <c r="A47" s="1"/>
      <c r="B47" s="12" t="s">
        <v>41</v>
      </c>
      <c r="C47" s="12" t="s">
        <v>22</v>
      </c>
      <c r="D47" s="19">
        <v>450</v>
      </c>
      <c r="E47" s="20">
        <v>2000</v>
      </c>
      <c r="F47" s="20">
        <v>2</v>
      </c>
      <c r="G47" s="20" t="s">
        <v>17</v>
      </c>
      <c r="H47" s="29">
        <f t="shared" si="1"/>
        <v>1.8</v>
      </c>
      <c r="I47" s="30" t="s">
        <v>20</v>
      </c>
      <c r="J47" s="31"/>
      <c r="K47" s="18"/>
    </row>
    <row r="48" spans="1:11" s="32" customFormat="1" ht="44.45" customHeight="1" x14ac:dyDescent="0.6">
      <c r="A48" s="1"/>
      <c r="B48" s="12" t="s">
        <v>41</v>
      </c>
      <c r="C48" s="12" t="s">
        <v>22</v>
      </c>
      <c r="D48" s="19">
        <v>1060</v>
      </c>
      <c r="E48" s="20">
        <v>2370</v>
      </c>
      <c r="F48" s="20">
        <v>1</v>
      </c>
      <c r="G48" s="20" t="s">
        <v>17</v>
      </c>
      <c r="H48" s="29">
        <f t="shared" si="1"/>
        <v>2.5122</v>
      </c>
      <c r="I48" s="30" t="s">
        <v>20</v>
      </c>
      <c r="J48" s="31"/>
      <c r="K48" s="18"/>
    </row>
    <row r="49" spans="1:11" s="32" customFormat="1" ht="44.45" customHeight="1" x14ac:dyDescent="0.6">
      <c r="A49" s="1"/>
      <c r="B49" s="12" t="s">
        <v>42</v>
      </c>
      <c r="C49" s="12" t="s">
        <v>22</v>
      </c>
      <c r="D49" s="19">
        <v>810</v>
      </c>
      <c r="E49" s="20">
        <v>1990</v>
      </c>
      <c r="F49" s="20">
        <v>1</v>
      </c>
      <c r="G49" s="20" t="s">
        <v>17</v>
      </c>
      <c r="H49" s="29">
        <f t="shared" si="1"/>
        <v>1.6119000000000001</v>
      </c>
      <c r="I49" s="30" t="s">
        <v>20</v>
      </c>
      <c r="J49" s="31"/>
      <c r="K49" s="18"/>
    </row>
    <row r="50" spans="1:11" s="32" customFormat="1" ht="44.45" customHeight="1" x14ac:dyDescent="0.6">
      <c r="A50" s="1"/>
      <c r="B50" s="12" t="s">
        <v>42</v>
      </c>
      <c r="C50" s="12" t="s">
        <v>22</v>
      </c>
      <c r="D50" s="19">
        <v>850</v>
      </c>
      <c r="E50" s="20">
        <v>2000</v>
      </c>
      <c r="F50" s="20">
        <v>1</v>
      </c>
      <c r="G50" s="20" t="s">
        <v>17</v>
      </c>
      <c r="H50" s="29">
        <f t="shared" si="1"/>
        <v>1.7</v>
      </c>
      <c r="I50" s="30" t="s">
        <v>20</v>
      </c>
      <c r="J50" s="31"/>
      <c r="K50" s="18"/>
    </row>
    <row r="51" spans="1:11" s="32" customFormat="1" ht="44.45" customHeight="1" x14ac:dyDescent="0.6">
      <c r="A51" s="1"/>
      <c r="B51" s="12" t="s">
        <v>32</v>
      </c>
      <c r="C51" s="12" t="s">
        <v>43</v>
      </c>
      <c r="D51" s="19">
        <v>670</v>
      </c>
      <c r="E51" s="20">
        <v>880</v>
      </c>
      <c r="F51" s="20">
        <v>1</v>
      </c>
      <c r="G51" s="20" t="s">
        <v>44</v>
      </c>
      <c r="H51" s="29">
        <f t="shared" si="1"/>
        <v>0.58960000000000001</v>
      </c>
      <c r="I51" s="30"/>
      <c r="J51" s="31"/>
      <c r="K51" s="18"/>
    </row>
    <row r="52" spans="1:11" s="32" customFormat="1" ht="44.45" customHeight="1" x14ac:dyDescent="0.6">
      <c r="A52" s="1"/>
      <c r="B52" s="12" t="s">
        <v>32</v>
      </c>
      <c r="C52" s="12" t="s">
        <v>43</v>
      </c>
      <c r="D52" s="19">
        <v>795</v>
      </c>
      <c r="E52" s="20">
        <v>1785</v>
      </c>
      <c r="F52" s="20">
        <v>1</v>
      </c>
      <c r="G52" s="20" t="s">
        <v>44</v>
      </c>
      <c r="H52" s="29">
        <f t="shared" si="1"/>
        <v>1.4190750000000001</v>
      </c>
      <c r="I52" s="30"/>
      <c r="J52" s="31"/>
      <c r="K52" s="18"/>
    </row>
    <row r="53" spans="1:11" s="32" customFormat="1" ht="44.45" customHeight="1" x14ac:dyDescent="0.6">
      <c r="A53" s="1"/>
      <c r="B53" s="12" t="s">
        <v>32</v>
      </c>
      <c r="C53" s="12" t="s">
        <v>43</v>
      </c>
      <c r="D53" s="19">
        <v>500</v>
      </c>
      <c r="E53" s="20">
        <v>1960</v>
      </c>
      <c r="F53" s="20">
        <v>1</v>
      </c>
      <c r="G53" s="20" t="s">
        <v>44</v>
      </c>
      <c r="H53" s="29">
        <f t="shared" si="1"/>
        <v>0.98</v>
      </c>
      <c r="I53" s="30"/>
      <c r="J53" s="31"/>
      <c r="K53" s="18"/>
    </row>
    <row r="54" spans="1:11" s="32" customFormat="1" ht="44.25" x14ac:dyDescent="0.55000000000000004">
      <c r="A54" s="1"/>
      <c r="B54" s="12"/>
      <c r="C54" s="12"/>
      <c r="D54" s="33"/>
      <c r="E54" s="16"/>
      <c r="F54" s="34"/>
      <c r="G54" s="16"/>
      <c r="H54" s="35"/>
      <c r="I54" s="18"/>
      <c r="K54" s="18"/>
    </row>
    <row r="55" spans="1:11" s="32" customFormat="1" ht="44.25" x14ac:dyDescent="0.55000000000000004">
      <c r="A55" s="1"/>
      <c r="B55" s="12"/>
      <c r="C55" s="16"/>
      <c r="D55" s="33"/>
      <c r="E55" s="33"/>
      <c r="F55" s="16">
        <f>+SUM(F34:F54)</f>
        <v>37</v>
      </c>
      <c r="G55" s="16"/>
      <c r="H55" s="29">
        <f>+SUM(H34:H54)</f>
        <v>39.812796999999996</v>
      </c>
      <c r="I55" s="18"/>
      <c r="K55" s="18"/>
    </row>
    <row r="56" spans="1:11" ht="44.25" x14ac:dyDescent="0.55000000000000004">
      <c r="A56" s="11"/>
      <c r="B56" s="12"/>
      <c r="C56" s="12"/>
      <c r="D56" s="33"/>
      <c r="E56" s="33"/>
      <c r="F56" s="16"/>
      <c r="G56" s="16"/>
      <c r="H56" s="29"/>
      <c r="I56" s="24"/>
      <c r="J56" s="36"/>
    </row>
    <row r="57" spans="1:11" ht="44.25" x14ac:dyDescent="0.55000000000000004">
      <c r="A57" s="11"/>
      <c r="B57" s="12"/>
      <c r="C57" s="12"/>
      <c r="D57" s="41"/>
      <c r="E57" s="41"/>
      <c r="F57" s="16"/>
      <c r="G57" s="16"/>
      <c r="H57" s="29"/>
      <c r="I57" s="24"/>
      <c r="J57" s="36"/>
    </row>
  </sheetData>
  <mergeCells count="3">
    <mergeCell ref="D4:E4"/>
    <mergeCell ref="D33:E33"/>
    <mergeCell ref="D57:E57"/>
  </mergeCells>
  <printOptions horizontalCentered="1"/>
  <pageMargins left="0.19685039370078741" right="0.19685039370078741" top="0.39370078740157483" bottom="0.39370078740157483" header="0" footer="0"/>
  <pageSetup paperSize="9" scale="20" orientation="landscape" r:id="rId1"/>
  <headerFooter alignWithMargins="0">
    <oddFooter>&amp;L&amp;"-,Negrita"&amp;8Facundo Morazzo Cristales &amp; Aberturas&amp;R&amp;"-,Negrita"&amp;8&amp;F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O36"/>
  <sheetViews>
    <sheetView showGridLines="0" zoomScale="55" zoomScaleNormal="55" workbookViewId="0">
      <pane ySplit="4" topLeftCell="A25" activePane="bottomLeft" state="frozen"/>
      <selection activeCell="C17" sqref="C17"/>
      <selection pane="bottomLeft" activeCell="C17" sqref="C17"/>
    </sheetView>
  </sheetViews>
  <sheetFormatPr defaultColWidth="11.42578125" defaultRowHeight="37.5" x14ac:dyDescent="0.5"/>
  <cols>
    <col min="1" max="1" width="43.140625" style="1" customWidth="1"/>
    <col min="2" max="2" width="84.7109375" style="18" customWidth="1"/>
    <col min="3" max="3" width="114" style="18" bestFit="1" customWidth="1"/>
    <col min="4" max="4" width="42.5703125" style="18" bestFit="1" customWidth="1"/>
    <col min="5" max="5" width="25.28515625" style="18" customWidth="1"/>
    <col min="6" max="6" width="28.7109375" style="18" bestFit="1" customWidth="1"/>
    <col min="7" max="9" width="39.7109375" style="18" customWidth="1"/>
    <col min="10" max="10" width="39.7109375" style="32" customWidth="1"/>
    <col min="11" max="11" width="69.85546875" style="18" customWidth="1"/>
    <col min="12" max="12" width="17.7109375" style="18" bestFit="1" customWidth="1"/>
    <col min="13" max="16384" width="11.42578125" style="18"/>
  </cols>
  <sheetData>
    <row r="1" spans="1:15" s="6" customFormat="1" ht="49.5" x14ac:dyDescent="0.65">
      <c r="A1" s="1"/>
      <c r="B1" s="2" t="s">
        <v>0</v>
      </c>
      <c r="C1" s="3"/>
      <c r="D1" s="4">
        <v>46122</v>
      </c>
      <c r="E1" s="5"/>
      <c r="J1" s="7"/>
    </row>
    <row r="2" spans="1:15" s="6" customFormat="1" x14ac:dyDescent="0.5">
      <c r="A2" s="1"/>
      <c r="B2" s="2" t="s">
        <v>1</v>
      </c>
      <c r="C2" s="2"/>
      <c r="J2" s="7"/>
    </row>
    <row r="3" spans="1:15" s="6" customFormat="1" x14ac:dyDescent="0.5">
      <c r="A3" s="1"/>
      <c r="B3" s="7"/>
      <c r="D3" s="8"/>
      <c r="J3" s="7"/>
    </row>
    <row r="4" spans="1:15" s="6" customFormat="1" ht="51" x14ac:dyDescent="0.75">
      <c r="A4" s="1"/>
      <c r="B4" s="9" t="s">
        <v>2</v>
      </c>
      <c r="C4" s="9" t="s">
        <v>3</v>
      </c>
      <c r="D4" s="38" t="s">
        <v>4</v>
      </c>
      <c r="E4" s="38"/>
      <c r="F4" s="10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</row>
    <row r="5" spans="1:15" ht="49.5" x14ac:dyDescent="0.65">
      <c r="A5" s="11"/>
      <c r="B5" s="12" t="s">
        <v>32</v>
      </c>
      <c r="C5" s="12" t="s">
        <v>45</v>
      </c>
      <c r="D5" s="13">
        <v>675</v>
      </c>
      <c r="E5" s="13">
        <v>2175</v>
      </c>
      <c r="F5" s="14">
        <v>1</v>
      </c>
      <c r="G5" s="15">
        <v>4</v>
      </c>
      <c r="H5" s="16">
        <v>12</v>
      </c>
      <c r="I5" s="15">
        <v>4</v>
      </c>
      <c r="J5" s="17">
        <f t="shared" ref="J5:J14" si="0">+D5*E5/1000000*2*F5</f>
        <v>2.9362499999999998</v>
      </c>
      <c r="K5" s="3"/>
      <c r="L5" s="6"/>
      <c r="M5" s="6"/>
      <c r="N5" s="6"/>
      <c r="O5" s="6"/>
    </row>
    <row r="6" spans="1:15" ht="49.5" x14ac:dyDescent="0.65">
      <c r="A6" s="11"/>
      <c r="B6" s="12" t="s">
        <v>32</v>
      </c>
      <c r="C6" s="12" t="s">
        <v>45</v>
      </c>
      <c r="D6" s="13">
        <v>1015</v>
      </c>
      <c r="E6" s="13">
        <v>2320</v>
      </c>
      <c r="F6" s="14">
        <v>1</v>
      </c>
      <c r="G6" s="15">
        <v>4</v>
      </c>
      <c r="H6" s="16">
        <v>12</v>
      </c>
      <c r="I6" s="15">
        <v>4</v>
      </c>
      <c r="J6" s="17">
        <f t="shared" si="0"/>
        <v>4.7096</v>
      </c>
      <c r="K6" s="3"/>
      <c r="L6" s="6"/>
      <c r="M6" s="6"/>
      <c r="N6" s="6"/>
      <c r="O6" s="6"/>
    </row>
    <row r="7" spans="1:15" ht="49.5" x14ac:dyDescent="0.65">
      <c r="A7" s="11"/>
      <c r="B7" s="12" t="s">
        <v>32</v>
      </c>
      <c r="C7" s="12" t="s">
        <v>45</v>
      </c>
      <c r="D7" s="13">
        <v>640</v>
      </c>
      <c r="E7" s="13">
        <v>2240</v>
      </c>
      <c r="F7" s="14">
        <v>4</v>
      </c>
      <c r="G7" s="15">
        <v>4</v>
      </c>
      <c r="H7" s="16">
        <v>12</v>
      </c>
      <c r="I7" s="15">
        <v>4</v>
      </c>
      <c r="J7" s="17">
        <f t="shared" si="0"/>
        <v>11.4688</v>
      </c>
      <c r="K7" s="3"/>
      <c r="L7" s="6"/>
      <c r="M7" s="6"/>
      <c r="N7" s="6"/>
      <c r="O7" s="6"/>
    </row>
    <row r="8" spans="1:15" ht="49.5" x14ac:dyDescent="0.65">
      <c r="A8" s="11"/>
      <c r="B8" s="12" t="s">
        <v>32</v>
      </c>
      <c r="C8" s="12" t="s">
        <v>45</v>
      </c>
      <c r="D8" s="13">
        <v>1070</v>
      </c>
      <c r="E8" s="13">
        <v>2320</v>
      </c>
      <c r="F8" s="14">
        <v>2</v>
      </c>
      <c r="G8" s="15">
        <v>4</v>
      </c>
      <c r="H8" s="16">
        <v>12</v>
      </c>
      <c r="I8" s="15">
        <v>4</v>
      </c>
      <c r="J8" s="17">
        <f t="shared" si="0"/>
        <v>9.9296000000000006</v>
      </c>
      <c r="K8" s="3"/>
      <c r="L8" s="6"/>
      <c r="M8" s="6"/>
      <c r="N8" s="6"/>
      <c r="O8" s="6"/>
    </row>
    <row r="9" spans="1:15" ht="47.25" x14ac:dyDescent="0.6">
      <c r="A9" s="11"/>
      <c r="B9" s="12" t="s">
        <v>32</v>
      </c>
      <c r="C9" s="12" t="s">
        <v>45</v>
      </c>
      <c r="D9" s="19">
        <v>420</v>
      </c>
      <c r="E9" s="20">
        <v>1670</v>
      </c>
      <c r="F9" s="20">
        <v>2</v>
      </c>
      <c r="G9" s="15">
        <v>4</v>
      </c>
      <c r="H9" s="16">
        <v>12</v>
      </c>
      <c r="I9" s="15">
        <v>4</v>
      </c>
      <c r="J9" s="17">
        <f t="shared" si="0"/>
        <v>2.8056000000000001</v>
      </c>
      <c r="K9" s="3"/>
      <c r="L9" s="6"/>
      <c r="M9" s="6"/>
      <c r="N9" s="6"/>
      <c r="O9" s="6"/>
    </row>
    <row r="10" spans="1:15" ht="47.25" x14ac:dyDescent="0.6">
      <c r="A10" s="11"/>
      <c r="B10" s="12" t="s">
        <v>32</v>
      </c>
      <c r="C10" s="12" t="s">
        <v>45</v>
      </c>
      <c r="D10" s="19">
        <v>640</v>
      </c>
      <c r="E10" s="20">
        <v>540</v>
      </c>
      <c r="F10" s="20">
        <v>1</v>
      </c>
      <c r="G10" s="15">
        <v>4</v>
      </c>
      <c r="H10" s="16">
        <v>12</v>
      </c>
      <c r="I10" s="15">
        <v>4</v>
      </c>
      <c r="J10" s="17">
        <f t="shared" si="0"/>
        <v>0.69120000000000004</v>
      </c>
      <c r="K10" s="3"/>
      <c r="L10" s="6"/>
      <c r="M10" s="6"/>
      <c r="N10" s="6"/>
      <c r="O10" s="6"/>
    </row>
    <row r="11" spans="1:15" ht="47.25" x14ac:dyDescent="0.6">
      <c r="A11" s="11"/>
      <c r="B11" s="12" t="s">
        <v>32</v>
      </c>
      <c r="C11" s="12" t="s">
        <v>45</v>
      </c>
      <c r="D11" s="19">
        <v>944</v>
      </c>
      <c r="E11" s="20">
        <v>620</v>
      </c>
      <c r="F11" s="20">
        <v>1</v>
      </c>
      <c r="G11" s="15">
        <v>4</v>
      </c>
      <c r="H11" s="16">
        <v>12</v>
      </c>
      <c r="I11" s="15">
        <v>4</v>
      </c>
      <c r="J11" s="17">
        <f t="shared" si="0"/>
        <v>1.17056</v>
      </c>
      <c r="K11" s="3"/>
      <c r="L11" s="6"/>
      <c r="M11" s="6"/>
      <c r="N11" s="6"/>
      <c r="O11" s="6"/>
    </row>
    <row r="12" spans="1:15" ht="47.25" x14ac:dyDescent="0.6">
      <c r="A12" s="11"/>
      <c r="B12" s="12" t="s">
        <v>32</v>
      </c>
      <c r="C12" s="12" t="s">
        <v>45</v>
      </c>
      <c r="D12" s="19">
        <v>340</v>
      </c>
      <c r="E12" s="20">
        <v>540</v>
      </c>
      <c r="F12" s="20">
        <v>2</v>
      </c>
      <c r="G12" s="15">
        <v>4</v>
      </c>
      <c r="H12" s="16">
        <v>12</v>
      </c>
      <c r="I12" s="15">
        <v>4</v>
      </c>
      <c r="J12" s="17">
        <f t="shared" si="0"/>
        <v>0.73440000000000005</v>
      </c>
      <c r="K12" s="3"/>
      <c r="L12" s="6"/>
      <c r="M12" s="6"/>
      <c r="N12" s="6"/>
      <c r="O12" s="6"/>
    </row>
    <row r="13" spans="1:15" ht="47.25" x14ac:dyDescent="0.6">
      <c r="A13" s="11"/>
      <c r="B13" s="12" t="s">
        <v>32</v>
      </c>
      <c r="C13" s="12" t="s">
        <v>45</v>
      </c>
      <c r="D13" s="19">
        <v>390</v>
      </c>
      <c r="E13" s="20">
        <v>1340</v>
      </c>
      <c r="F13" s="20">
        <v>2</v>
      </c>
      <c r="G13" s="15">
        <v>4</v>
      </c>
      <c r="H13" s="16">
        <v>12</v>
      </c>
      <c r="I13" s="15">
        <v>4</v>
      </c>
      <c r="J13" s="17">
        <f t="shared" si="0"/>
        <v>2.0903999999999998</v>
      </c>
      <c r="K13" s="3"/>
      <c r="L13" s="6"/>
      <c r="M13" s="6"/>
      <c r="N13" s="6"/>
      <c r="O13" s="6"/>
    </row>
    <row r="14" spans="1:15" ht="47.25" x14ac:dyDescent="0.6">
      <c r="A14" s="11"/>
      <c r="B14" s="12" t="s">
        <v>32</v>
      </c>
      <c r="C14" s="12" t="s">
        <v>45</v>
      </c>
      <c r="D14" s="19">
        <v>594</v>
      </c>
      <c r="E14" s="20">
        <v>1420</v>
      </c>
      <c r="F14" s="20">
        <v>2</v>
      </c>
      <c r="G14" s="15">
        <v>4</v>
      </c>
      <c r="H14" s="16">
        <v>12</v>
      </c>
      <c r="I14" s="15">
        <v>4</v>
      </c>
      <c r="J14" s="17">
        <f t="shared" si="0"/>
        <v>3.37392</v>
      </c>
      <c r="K14" s="3"/>
      <c r="L14" s="6"/>
      <c r="M14" s="6"/>
      <c r="N14" s="6"/>
      <c r="O14" s="6"/>
    </row>
    <row r="15" spans="1:15" ht="49.5" x14ac:dyDescent="0.65">
      <c r="A15" s="11"/>
      <c r="B15" s="12"/>
      <c r="C15" s="12"/>
      <c r="D15" s="13"/>
      <c r="E15" s="13"/>
      <c r="F15" s="21"/>
      <c r="G15" s="15"/>
      <c r="H15" s="16"/>
      <c r="I15" s="15"/>
      <c r="J15" s="22"/>
      <c r="K15" s="1"/>
    </row>
    <row r="16" spans="1:15" ht="49.5" x14ac:dyDescent="0.65">
      <c r="A16" s="11"/>
      <c r="B16" s="12"/>
      <c r="C16" s="12"/>
      <c r="D16" s="14"/>
      <c r="E16" s="14"/>
      <c r="F16" s="13">
        <f>SUM(F5:F15)</f>
        <v>18</v>
      </c>
      <c r="G16" s="16"/>
      <c r="H16" s="23"/>
      <c r="I16" s="15"/>
      <c r="J16" s="17">
        <f>+SUM(J5:J15)</f>
        <v>39.910330000000002</v>
      </c>
      <c r="K16" s="17"/>
    </row>
    <row r="17" spans="1:11" x14ac:dyDescent="0.5">
      <c r="H17" s="18">
        <v>5</v>
      </c>
      <c r="J17" s="17">
        <f>+J16/2</f>
        <v>19.955165000000001</v>
      </c>
    </row>
    <row r="18" spans="1:11" ht="45" x14ac:dyDescent="0.6">
      <c r="B18" s="24"/>
      <c r="D18" s="12">
        <f>+D1</f>
        <v>46122</v>
      </c>
      <c r="E18" s="25"/>
      <c r="F18" s="26"/>
      <c r="J18" s="17"/>
    </row>
    <row r="19" spans="1:11" ht="24.75" customHeight="1" x14ac:dyDescent="0.55000000000000004">
      <c r="D19" s="12"/>
      <c r="J19" s="17"/>
    </row>
    <row r="20" spans="1:11" ht="46.5" x14ac:dyDescent="0.7">
      <c r="B20" s="27" t="s">
        <v>2</v>
      </c>
      <c r="C20" s="27" t="s">
        <v>3</v>
      </c>
      <c r="D20" s="39" t="s">
        <v>4</v>
      </c>
      <c r="E20" s="40"/>
      <c r="F20" s="27" t="s">
        <v>11</v>
      </c>
      <c r="G20" s="27" t="s">
        <v>12</v>
      </c>
      <c r="H20" s="27" t="s">
        <v>9</v>
      </c>
      <c r="I20" s="27" t="s">
        <v>13</v>
      </c>
      <c r="J20" s="28"/>
    </row>
    <row r="21" spans="1:11" s="32" customFormat="1" ht="44.45" customHeight="1" x14ac:dyDescent="0.6">
      <c r="A21" s="1"/>
      <c r="B21" s="12" t="s">
        <v>39</v>
      </c>
      <c r="C21" s="12" t="s">
        <v>46</v>
      </c>
      <c r="D21" s="19">
        <v>930</v>
      </c>
      <c r="E21" s="20">
        <v>1505</v>
      </c>
      <c r="F21" s="20">
        <v>1</v>
      </c>
      <c r="G21" s="20" t="s">
        <v>47</v>
      </c>
      <c r="H21" s="29">
        <f t="shared" ref="H21:H32" si="1">+(D21*E21*F21)/1000000</f>
        <v>1.3996500000000001</v>
      </c>
      <c r="I21" s="30"/>
      <c r="J21" s="31"/>
      <c r="K21" s="18"/>
    </row>
    <row r="22" spans="1:11" s="32" customFormat="1" ht="44.45" customHeight="1" x14ac:dyDescent="0.6">
      <c r="A22" s="1"/>
      <c r="B22" s="12" t="s">
        <v>39</v>
      </c>
      <c r="C22" s="12" t="s">
        <v>46</v>
      </c>
      <c r="D22" s="19">
        <v>940</v>
      </c>
      <c r="E22" s="20">
        <v>1540</v>
      </c>
      <c r="F22" s="20">
        <v>2</v>
      </c>
      <c r="G22" s="20" t="s">
        <v>47</v>
      </c>
      <c r="H22" s="29">
        <f t="shared" si="1"/>
        <v>2.8952</v>
      </c>
      <c r="I22" s="30"/>
      <c r="J22" s="31"/>
      <c r="K22" s="18"/>
    </row>
    <row r="23" spans="1:11" s="32" customFormat="1" ht="44.45" customHeight="1" x14ac:dyDescent="0.6">
      <c r="A23" s="1"/>
      <c r="B23" s="12" t="s">
        <v>39</v>
      </c>
      <c r="C23" s="12" t="s">
        <v>46</v>
      </c>
      <c r="D23" s="19">
        <v>795</v>
      </c>
      <c r="E23" s="20">
        <v>1870</v>
      </c>
      <c r="F23" s="20">
        <v>1</v>
      </c>
      <c r="G23" s="20" t="s">
        <v>47</v>
      </c>
      <c r="H23" s="29">
        <f t="shared" si="1"/>
        <v>1.48665</v>
      </c>
      <c r="I23" s="30"/>
      <c r="J23" s="31"/>
      <c r="K23" s="18"/>
    </row>
    <row r="24" spans="1:11" s="32" customFormat="1" ht="44.45" customHeight="1" x14ac:dyDescent="0.6">
      <c r="A24" s="1"/>
      <c r="B24" s="12" t="s">
        <v>39</v>
      </c>
      <c r="C24" s="12" t="s">
        <v>46</v>
      </c>
      <c r="D24" s="19">
        <v>595</v>
      </c>
      <c r="E24" s="20">
        <v>1025</v>
      </c>
      <c r="F24" s="20">
        <v>1</v>
      </c>
      <c r="G24" s="20" t="s">
        <v>47</v>
      </c>
      <c r="H24" s="29">
        <f t="shared" si="1"/>
        <v>0.60987499999999994</v>
      </c>
      <c r="I24" s="30"/>
      <c r="J24" s="31"/>
      <c r="K24" s="18"/>
    </row>
    <row r="25" spans="1:11" s="32" customFormat="1" ht="44.45" customHeight="1" x14ac:dyDescent="0.6">
      <c r="A25" s="1"/>
      <c r="B25" s="12" t="s">
        <v>39</v>
      </c>
      <c r="C25" s="12" t="s">
        <v>46</v>
      </c>
      <c r="D25" s="19">
        <v>793</v>
      </c>
      <c r="E25" s="20">
        <v>2140</v>
      </c>
      <c r="F25" s="20">
        <v>1</v>
      </c>
      <c r="G25" s="20" t="s">
        <v>47</v>
      </c>
      <c r="H25" s="29">
        <f t="shared" si="1"/>
        <v>1.69702</v>
      </c>
      <c r="I25" s="30"/>
      <c r="J25" s="31"/>
      <c r="K25" s="18"/>
    </row>
    <row r="26" spans="1:11" s="32" customFormat="1" ht="44.45" customHeight="1" x14ac:dyDescent="0.6">
      <c r="A26" s="1"/>
      <c r="B26" s="12" t="s">
        <v>39</v>
      </c>
      <c r="C26" s="12" t="s">
        <v>46</v>
      </c>
      <c r="D26" s="19">
        <v>793</v>
      </c>
      <c r="E26" s="20">
        <v>2140</v>
      </c>
      <c r="F26" s="20">
        <v>1</v>
      </c>
      <c r="G26" s="20" t="s">
        <v>26</v>
      </c>
      <c r="H26" s="29">
        <f t="shared" si="1"/>
        <v>1.69702</v>
      </c>
      <c r="I26" s="30"/>
      <c r="J26" s="31"/>
      <c r="K26" s="18"/>
    </row>
    <row r="27" spans="1:11" s="32" customFormat="1" ht="44.45" customHeight="1" x14ac:dyDescent="0.6">
      <c r="A27" s="1"/>
      <c r="B27" s="12" t="s">
        <v>39</v>
      </c>
      <c r="C27" s="12" t="s">
        <v>46</v>
      </c>
      <c r="D27" s="19">
        <v>615</v>
      </c>
      <c r="E27" s="20">
        <v>1795</v>
      </c>
      <c r="F27" s="20">
        <v>2</v>
      </c>
      <c r="G27" s="20" t="s">
        <v>26</v>
      </c>
      <c r="H27" s="29">
        <f t="shared" si="1"/>
        <v>2.2078500000000001</v>
      </c>
      <c r="I27" s="30"/>
      <c r="J27" s="31"/>
      <c r="K27" s="18"/>
    </row>
    <row r="28" spans="1:11" s="32" customFormat="1" ht="44.45" customHeight="1" x14ac:dyDescent="0.6">
      <c r="A28" s="1"/>
      <c r="B28" s="12" t="s">
        <v>39</v>
      </c>
      <c r="C28" s="12" t="s">
        <v>46</v>
      </c>
      <c r="D28" s="19">
        <v>1630</v>
      </c>
      <c r="E28" s="20">
        <v>1970</v>
      </c>
      <c r="F28" s="20">
        <v>2</v>
      </c>
      <c r="G28" s="20" t="s">
        <v>26</v>
      </c>
      <c r="H28" s="29">
        <f t="shared" si="1"/>
        <v>6.4222000000000001</v>
      </c>
      <c r="I28" s="30"/>
      <c r="J28" s="31"/>
      <c r="K28" s="18"/>
    </row>
    <row r="29" spans="1:11" s="32" customFormat="1" ht="44.45" customHeight="1" x14ac:dyDescent="0.6">
      <c r="A29" s="1"/>
      <c r="B29" s="12" t="s">
        <v>32</v>
      </c>
      <c r="C29" s="12" t="s">
        <v>48</v>
      </c>
      <c r="D29" s="19">
        <v>1216</v>
      </c>
      <c r="E29" s="20">
        <v>2750</v>
      </c>
      <c r="F29" s="20">
        <v>2</v>
      </c>
      <c r="G29" s="20" t="s">
        <v>26</v>
      </c>
      <c r="H29" s="29">
        <f t="shared" si="1"/>
        <v>6.6879999999999997</v>
      </c>
      <c r="I29" s="30"/>
      <c r="J29" s="31"/>
      <c r="K29" s="18"/>
    </row>
    <row r="30" spans="1:11" s="32" customFormat="1" ht="44.45" customHeight="1" x14ac:dyDescent="0.6">
      <c r="A30" s="1"/>
      <c r="B30" s="12" t="s">
        <v>32</v>
      </c>
      <c r="C30" s="12" t="s">
        <v>48</v>
      </c>
      <c r="D30" s="19">
        <v>645</v>
      </c>
      <c r="E30" s="20">
        <v>2575</v>
      </c>
      <c r="F30" s="20">
        <v>1</v>
      </c>
      <c r="G30" s="20" t="s">
        <v>26</v>
      </c>
      <c r="H30" s="29">
        <f t="shared" si="1"/>
        <v>1.6608750000000001</v>
      </c>
      <c r="I30" s="30"/>
      <c r="J30" s="31"/>
      <c r="K30" s="18"/>
    </row>
    <row r="31" spans="1:11" s="32" customFormat="1" ht="44.45" customHeight="1" x14ac:dyDescent="0.6">
      <c r="A31" s="1"/>
      <c r="B31" s="12" t="s">
        <v>32</v>
      </c>
      <c r="C31" s="12" t="s">
        <v>48</v>
      </c>
      <c r="D31" s="19">
        <v>400</v>
      </c>
      <c r="E31" s="20">
        <v>2420</v>
      </c>
      <c r="F31" s="20">
        <v>1</v>
      </c>
      <c r="G31" s="20" t="s">
        <v>26</v>
      </c>
      <c r="H31" s="29">
        <f t="shared" si="1"/>
        <v>0.96799999999999997</v>
      </c>
      <c r="I31" s="30"/>
      <c r="J31" s="31"/>
      <c r="K31" s="18"/>
    </row>
    <row r="32" spans="1:11" s="32" customFormat="1" ht="44.45" customHeight="1" x14ac:dyDescent="0.6">
      <c r="A32" s="1"/>
      <c r="B32" s="12" t="s">
        <v>49</v>
      </c>
      <c r="C32" s="12" t="s">
        <v>50</v>
      </c>
      <c r="D32" s="19">
        <v>515</v>
      </c>
      <c r="E32" s="20">
        <v>730</v>
      </c>
      <c r="F32" s="20">
        <v>1</v>
      </c>
      <c r="G32" s="37" t="s">
        <v>51</v>
      </c>
      <c r="H32" s="29">
        <f t="shared" si="1"/>
        <v>0.37595000000000001</v>
      </c>
      <c r="I32" s="30"/>
      <c r="J32" s="31"/>
      <c r="K32" s="18"/>
    </row>
    <row r="33" spans="1:11" s="32" customFormat="1" ht="44.25" x14ac:dyDescent="0.55000000000000004">
      <c r="A33" s="1"/>
      <c r="B33" s="12"/>
      <c r="C33" s="12"/>
      <c r="D33" s="33"/>
      <c r="E33" s="16"/>
      <c r="F33" s="34"/>
      <c r="G33" s="16"/>
      <c r="H33" s="35"/>
      <c r="I33" s="18"/>
      <c r="K33" s="18"/>
    </row>
    <row r="34" spans="1:11" s="32" customFormat="1" ht="44.25" x14ac:dyDescent="0.55000000000000004">
      <c r="A34" s="1"/>
      <c r="B34" s="12"/>
      <c r="C34" s="16"/>
      <c r="D34" s="33"/>
      <c r="E34" s="33"/>
      <c r="F34" s="16">
        <f>+SUM(F21:F33)</f>
        <v>16</v>
      </c>
      <c r="G34" s="16"/>
      <c r="H34" s="29">
        <f>+SUM(H21:H33)</f>
        <v>28.10829</v>
      </c>
      <c r="I34" s="18"/>
      <c r="K34" s="18"/>
    </row>
    <row r="35" spans="1:11" ht="44.25" x14ac:dyDescent="0.55000000000000004">
      <c r="A35" s="11"/>
      <c r="B35" s="12"/>
      <c r="C35" s="12"/>
      <c r="D35" s="33"/>
      <c r="E35" s="33"/>
      <c r="F35" s="16"/>
      <c r="G35" s="16"/>
      <c r="H35" s="29"/>
      <c r="I35" s="24"/>
      <c r="J35" s="36"/>
    </row>
    <row r="36" spans="1:11" ht="44.25" x14ac:dyDescent="0.55000000000000004">
      <c r="A36" s="11"/>
      <c r="B36" s="12"/>
      <c r="C36" s="12"/>
      <c r="D36" s="41"/>
      <c r="E36" s="41"/>
      <c r="F36" s="16"/>
      <c r="G36" s="16"/>
      <c r="H36" s="29"/>
      <c r="I36" s="24"/>
      <c r="J36" s="36"/>
    </row>
  </sheetData>
  <mergeCells count="3">
    <mergeCell ref="D4:E4"/>
    <mergeCell ref="D20:E20"/>
    <mergeCell ref="D36:E36"/>
  </mergeCells>
  <printOptions horizontalCentered="1"/>
  <pageMargins left="0.19685039370078741" right="0.19685039370078741" top="0.39370078740157483" bottom="0.39370078740157483" header="0" footer="0"/>
  <pageSetup paperSize="9" scale="20" orientation="landscape" r:id="rId1"/>
  <headerFooter alignWithMargins="0">
    <oddFooter>&amp;L&amp;"-,Negrita"&amp;8Facundo Morazzo Cristales &amp; Aberturas&amp;R&amp;"-,Negrita"&amp;8&amp;F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O56"/>
  <sheetViews>
    <sheetView showGridLines="0" tabSelected="1" zoomScale="55" zoomScaleNormal="55" workbookViewId="0">
      <pane ySplit="4" topLeftCell="A22" activePane="bottomLeft" state="frozen"/>
      <selection activeCell="C17" sqref="C17"/>
      <selection pane="bottomLeft" activeCell="D25" sqref="D25"/>
    </sheetView>
  </sheetViews>
  <sheetFormatPr defaultColWidth="11.42578125" defaultRowHeight="37.5" x14ac:dyDescent="0.5"/>
  <cols>
    <col min="1" max="1" width="43.140625" style="1" customWidth="1"/>
    <col min="2" max="2" width="84.7109375" style="18" customWidth="1"/>
    <col min="3" max="3" width="114" style="18" bestFit="1" customWidth="1"/>
    <col min="4" max="4" width="42.5703125" style="18" bestFit="1" customWidth="1"/>
    <col min="5" max="5" width="25.28515625" style="18" customWidth="1"/>
    <col min="6" max="6" width="28.7109375" style="18" bestFit="1" customWidth="1"/>
    <col min="7" max="9" width="39.7109375" style="18" customWidth="1"/>
    <col min="10" max="10" width="39.7109375" style="32" customWidth="1"/>
    <col min="11" max="11" width="69.85546875" style="18" customWidth="1"/>
    <col min="12" max="12" width="17.7109375" style="18" bestFit="1" customWidth="1"/>
    <col min="13" max="16384" width="11.42578125" style="18"/>
  </cols>
  <sheetData>
    <row r="1" spans="1:15" s="6" customFormat="1" ht="49.5" x14ac:dyDescent="0.65">
      <c r="A1" s="1"/>
      <c r="B1" s="2" t="s">
        <v>0</v>
      </c>
      <c r="C1" s="3"/>
      <c r="D1" s="4">
        <v>46127</v>
      </c>
      <c r="E1" s="5"/>
      <c r="J1" s="7"/>
    </row>
    <row r="2" spans="1:15" s="6" customFormat="1" x14ac:dyDescent="0.5">
      <c r="A2" s="1"/>
      <c r="B2" s="2" t="s">
        <v>1</v>
      </c>
      <c r="C2" s="2"/>
      <c r="J2" s="7"/>
    </row>
    <row r="3" spans="1:15" s="6" customFormat="1" x14ac:dyDescent="0.5">
      <c r="A3" s="1"/>
      <c r="B3" s="7"/>
      <c r="D3" s="8"/>
      <c r="J3" s="7"/>
    </row>
    <row r="4" spans="1:15" s="6" customFormat="1" ht="51" x14ac:dyDescent="0.75">
      <c r="A4" s="1"/>
      <c r="B4" s="9" t="s">
        <v>2</v>
      </c>
      <c r="C4" s="9" t="s">
        <v>3</v>
      </c>
      <c r="D4" s="42" t="s">
        <v>67</v>
      </c>
      <c r="E4" s="43" t="s">
        <v>66</v>
      </c>
      <c r="F4" s="10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</row>
    <row r="5" spans="1:15" ht="49.5" x14ac:dyDescent="0.65">
      <c r="A5" s="11"/>
      <c r="B5" s="12" t="s">
        <v>24</v>
      </c>
      <c r="C5" s="12" t="s">
        <v>52</v>
      </c>
      <c r="D5" s="13">
        <v>492</v>
      </c>
      <c r="E5" s="13">
        <v>1492</v>
      </c>
      <c r="F5" s="14">
        <v>1</v>
      </c>
      <c r="G5" s="15">
        <v>4</v>
      </c>
      <c r="H5" s="16">
        <v>12</v>
      </c>
      <c r="I5" s="15">
        <v>4</v>
      </c>
      <c r="J5" s="17">
        <f t="shared" ref="J5:J33" si="0">+D5*E5/1000000*2*F5</f>
        <v>1.4681280000000001</v>
      </c>
      <c r="K5" s="3"/>
      <c r="L5" s="6"/>
      <c r="M5" s="6"/>
      <c r="N5" s="6"/>
      <c r="O5" s="6"/>
    </row>
    <row r="6" spans="1:15" ht="49.5" x14ac:dyDescent="0.65">
      <c r="A6" s="11"/>
      <c r="B6" s="12" t="s">
        <v>24</v>
      </c>
      <c r="C6" s="12" t="s">
        <v>52</v>
      </c>
      <c r="D6" s="13">
        <v>388</v>
      </c>
      <c r="E6" s="13">
        <v>1393</v>
      </c>
      <c r="F6" s="14">
        <v>1</v>
      </c>
      <c r="G6" s="15">
        <v>4</v>
      </c>
      <c r="H6" s="16">
        <v>12</v>
      </c>
      <c r="I6" s="15">
        <v>4</v>
      </c>
      <c r="J6" s="17">
        <f t="shared" si="0"/>
        <v>1.0809679999999999</v>
      </c>
      <c r="K6" s="3"/>
      <c r="L6" s="6"/>
      <c r="M6" s="6"/>
      <c r="N6" s="6"/>
      <c r="O6" s="6"/>
    </row>
    <row r="7" spans="1:15" ht="49.5" x14ac:dyDescent="0.65">
      <c r="A7" s="11"/>
      <c r="B7" s="12" t="s">
        <v>24</v>
      </c>
      <c r="C7" s="12" t="s">
        <v>52</v>
      </c>
      <c r="D7" s="13">
        <v>555</v>
      </c>
      <c r="E7" s="13">
        <v>1860</v>
      </c>
      <c r="F7" s="14">
        <v>1</v>
      </c>
      <c r="G7" s="15" t="s">
        <v>26</v>
      </c>
      <c r="H7" s="16">
        <v>12</v>
      </c>
      <c r="I7" s="15">
        <v>4</v>
      </c>
      <c r="J7" s="17">
        <f t="shared" si="0"/>
        <v>2.0646</v>
      </c>
      <c r="K7" s="3"/>
      <c r="L7" s="6"/>
      <c r="M7" s="6"/>
      <c r="N7" s="6"/>
      <c r="O7" s="6"/>
    </row>
    <row r="8" spans="1:15" ht="49.5" x14ac:dyDescent="0.65">
      <c r="A8" s="11"/>
      <c r="B8" s="12" t="s">
        <v>24</v>
      </c>
      <c r="C8" s="12" t="s">
        <v>52</v>
      </c>
      <c r="D8" s="13">
        <v>2402</v>
      </c>
      <c r="E8" s="13">
        <v>2444</v>
      </c>
      <c r="F8" s="14">
        <v>1</v>
      </c>
      <c r="G8" s="15" t="s">
        <v>26</v>
      </c>
      <c r="H8" s="16">
        <v>12</v>
      </c>
      <c r="I8" s="15">
        <v>5</v>
      </c>
      <c r="J8" s="17">
        <f t="shared" si="0"/>
        <v>11.740976</v>
      </c>
      <c r="K8" s="3"/>
      <c r="L8" s="6"/>
      <c r="M8" s="6"/>
      <c r="N8" s="6"/>
      <c r="O8" s="6"/>
    </row>
    <row r="9" spans="1:15" ht="49.5" x14ac:dyDescent="0.65">
      <c r="A9" s="11"/>
      <c r="B9" s="12" t="s">
        <v>24</v>
      </c>
      <c r="C9" s="12" t="s">
        <v>52</v>
      </c>
      <c r="D9" s="13">
        <v>388</v>
      </c>
      <c r="E9" s="13">
        <v>732</v>
      </c>
      <c r="F9" s="14">
        <v>1</v>
      </c>
      <c r="G9" s="15" t="s">
        <v>53</v>
      </c>
      <c r="H9" s="16">
        <v>12</v>
      </c>
      <c r="I9" s="15">
        <v>4</v>
      </c>
      <c r="J9" s="17">
        <f t="shared" si="0"/>
        <v>0.56803199999999998</v>
      </c>
      <c r="K9" s="3"/>
      <c r="L9" s="6"/>
      <c r="M9" s="6"/>
      <c r="N9" s="6"/>
      <c r="O9" s="6"/>
    </row>
    <row r="10" spans="1:15" ht="49.5" x14ac:dyDescent="0.65">
      <c r="A10" s="11"/>
      <c r="B10" s="12" t="s">
        <v>24</v>
      </c>
      <c r="C10" s="12" t="s">
        <v>52</v>
      </c>
      <c r="D10" s="13">
        <v>874</v>
      </c>
      <c r="E10" s="13">
        <v>892</v>
      </c>
      <c r="F10" s="14">
        <v>2</v>
      </c>
      <c r="G10" s="15">
        <v>4</v>
      </c>
      <c r="H10" s="16">
        <v>12</v>
      </c>
      <c r="I10" s="15">
        <v>4</v>
      </c>
      <c r="J10" s="17">
        <f t="shared" si="0"/>
        <v>3.1184319999999999</v>
      </c>
      <c r="K10" s="3"/>
      <c r="L10" s="6"/>
      <c r="M10" s="6"/>
      <c r="N10" s="6"/>
      <c r="O10" s="6"/>
    </row>
    <row r="11" spans="1:15" ht="49.5" x14ac:dyDescent="0.65">
      <c r="A11" s="11"/>
      <c r="B11" s="12" t="s">
        <v>24</v>
      </c>
      <c r="C11" s="12" t="s">
        <v>52</v>
      </c>
      <c r="D11" s="13">
        <v>2392</v>
      </c>
      <c r="E11" s="13">
        <v>1944</v>
      </c>
      <c r="F11" s="14">
        <v>1</v>
      </c>
      <c r="G11" s="15" t="s">
        <v>26</v>
      </c>
      <c r="H11" s="16">
        <v>12</v>
      </c>
      <c r="I11" s="15">
        <v>5</v>
      </c>
      <c r="J11" s="17">
        <f t="shared" si="0"/>
        <v>9.3000959999999999</v>
      </c>
      <c r="K11" s="3"/>
      <c r="L11" s="6"/>
      <c r="M11" s="6"/>
      <c r="N11" s="6"/>
      <c r="O11" s="6"/>
    </row>
    <row r="12" spans="1:15" ht="49.5" x14ac:dyDescent="0.65">
      <c r="A12" s="11"/>
      <c r="B12" s="12" t="s">
        <v>24</v>
      </c>
      <c r="C12" s="12" t="s">
        <v>52</v>
      </c>
      <c r="D12" s="13">
        <v>460</v>
      </c>
      <c r="E12" s="13">
        <v>1810</v>
      </c>
      <c r="F12" s="14">
        <v>1</v>
      </c>
      <c r="G12" s="15" t="s">
        <v>26</v>
      </c>
      <c r="H12" s="16">
        <v>12</v>
      </c>
      <c r="I12" s="15">
        <v>4</v>
      </c>
      <c r="J12" s="17">
        <f t="shared" si="0"/>
        <v>1.6652</v>
      </c>
      <c r="K12" s="3"/>
      <c r="L12" s="6"/>
      <c r="M12" s="6"/>
      <c r="N12" s="6"/>
      <c r="O12" s="6"/>
    </row>
    <row r="13" spans="1:15" ht="49.5" x14ac:dyDescent="0.65">
      <c r="A13" s="11"/>
      <c r="B13" s="12" t="s">
        <v>24</v>
      </c>
      <c r="C13" s="12" t="s">
        <v>52</v>
      </c>
      <c r="D13" s="13">
        <v>692</v>
      </c>
      <c r="E13" s="13">
        <v>1944</v>
      </c>
      <c r="F13" s="14">
        <v>1</v>
      </c>
      <c r="G13" s="15" t="s">
        <v>26</v>
      </c>
      <c r="H13" s="16">
        <v>12</v>
      </c>
      <c r="I13" s="15">
        <v>4</v>
      </c>
      <c r="J13" s="17">
        <f t="shared" si="0"/>
        <v>2.690496</v>
      </c>
      <c r="K13" s="3"/>
      <c r="L13" s="6"/>
      <c r="M13" s="6"/>
      <c r="N13" s="6"/>
      <c r="O13" s="6"/>
    </row>
    <row r="14" spans="1:15" ht="49.5" x14ac:dyDescent="0.65">
      <c r="A14" s="11"/>
      <c r="B14" s="12" t="s">
        <v>24</v>
      </c>
      <c r="C14" s="12" t="s">
        <v>52</v>
      </c>
      <c r="D14" s="13">
        <v>473</v>
      </c>
      <c r="E14" s="13">
        <v>1038</v>
      </c>
      <c r="F14" s="14">
        <v>1</v>
      </c>
      <c r="G14" s="15">
        <v>4</v>
      </c>
      <c r="H14" s="16">
        <v>12</v>
      </c>
      <c r="I14" s="15">
        <v>4</v>
      </c>
      <c r="J14" s="17">
        <f t="shared" si="0"/>
        <v>0.98194800000000004</v>
      </c>
      <c r="K14" s="3"/>
      <c r="L14" s="6"/>
      <c r="M14" s="6"/>
      <c r="N14" s="6"/>
      <c r="O14" s="6"/>
    </row>
    <row r="15" spans="1:15" ht="49.5" x14ac:dyDescent="0.65">
      <c r="A15" s="11"/>
      <c r="B15" s="12" t="s">
        <v>24</v>
      </c>
      <c r="C15" s="12" t="s">
        <v>52</v>
      </c>
      <c r="D15" s="13">
        <v>1067</v>
      </c>
      <c r="E15" s="13">
        <v>1142</v>
      </c>
      <c r="F15" s="14">
        <v>1</v>
      </c>
      <c r="G15" s="15">
        <v>4</v>
      </c>
      <c r="H15" s="16">
        <v>12</v>
      </c>
      <c r="I15" s="15">
        <v>4</v>
      </c>
      <c r="J15" s="17">
        <f t="shared" si="0"/>
        <v>2.4370280000000002</v>
      </c>
      <c r="K15" s="3"/>
      <c r="L15" s="6"/>
      <c r="M15" s="6"/>
      <c r="N15" s="6"/>
      <c r="O15" s="6"/>
    </row>
    <row r="16" spans="1:15" ht="49.5" x14ac:dyDescent="0.65">
      <c r="A16" s="11"/>
      <c r="B16" s="12" t="s">
        <v>24</v>
      </c>
      <c r="C16" s="12" t="s">
        <v>52</v>
      </c>
      <c r="D16" s="13">
        <v>545</v>
      </c>
      <c r="E16" s="13">
        <v>1820</v>
      </c>
      <c r="F16" s="14">
        <v>1</v>
      </c>
      <c r="G16" s="15" t="s">
        <v>26</v>
      </c>
      <c r="H16" s="16">
        <v>12</v>
      </c>
      <c r="I16" s="15">
        <v>4</v>
      </c>
      <c r="J16" s="17">
        <f t="shared" si="0"/>
        <v>1.9838</v>
      </c>
      <c r="K16" s="3"/>
      <c r="L16" s="6"/>
      <c r="M16" s="6"/>
      <c r="N16" s="6"/>
      <c r="O16" s="6"/>
    </row>
    <row r="17" spans="1:15" ht="49.5" x14ac:dyDescent="0.65">
      <c r="A17" s="11"/>
      <c r="B17" s="12" t="s">
        <v>24</v>
      </c>
      <c r="C17" s="12" t="s">
        <v>52</v>
      </c>
      <c r="D17" s="13">
        <v>1167</v>
      </c>
      <c r="E17" s="13">
        <v>1952</v>
      </c>
      <c r="F17" s="14">
        <v>1</v>
      </c>
      <c r="G17" s="15" t="s">
        <v>26</v>
      </c>
      <c r="H17" s="16">
        <v>12</v>
      </c>
      <c r="I17" s="15">
        <v>4</v>
      </c>
      <c r="J17" s="17">
        <f t="shared" si="0"/>
        <v>4.555968</v>
      </c>
      <c r="K17" s="3"/>
      <c r="L17" s="6"/>
      <c r="M17" s="6"/>
      <c r="N17" s="6"/>
      <c r="O17" s="6"/>
    </row>
    <row r="18" spans="1:15" ht="49.5" x14ac:dyDescent="0.65">
      <c r="A18" s="11"/>
      <c r="B18" s="12" t="s">
        <v>24</v>
      </c>
      <c r="C18" s="12" t="s">
        <v>52</v>
      </c>
      <c r="D18" s="13">
        <v>2380</v>
      </c>
      <c r="E18" s="13">
        <v>1950</v>
      </c>
      <c r="F18" s="14">
        <v>1</v>
      </c>
      <c r="G18" s="15" t="s">
        <v>26</v>
      </c>
      <c r="H18" s="16">
        <v>12</v>
      </c>
      <c r="I18" s="15">
        <v>5</v>
      </c>
      <c r="J18" s="17">
        <f t="shared" si="0"/>
        <v>9.282</v>
      </c>
      <c r="K18" s="3"/>
      <c r="L18" s="6"/>
      <c r="M18" s="6"/>
      <c r="N18" s="6"/>
      <c r="O18" s="6"/>
    </row>
    <row r="19" spans="1:15" ht="49.5" x14ac:dyDescent="0.65">
      <c r="A19" s="11"/>
      <c r="B19" s="12" t="s">
        <v>24</v>
      </c>
      <c r="C19" s="12" t="s">
        <v>52</v>
      </c>
      <c r="D19" s="13">
        <v>388</v>
      </c>
      <c r="E19" s="13">
        <v>588</v>
      </c>
      <c r="F19" s="14">
        <v>2</v>
      </c>
      <c r="G19" s="15" t="s">
        <v>53</v>
      </c>
      <c r="H19" s="16">
        <v>12</v>
      </c>
      <c r="I19" s="15">
        <v>4</v>
      </c>
      <c r="J19" s="17">
        <f t="shared" si="0"/>
        <v>0.91257600000000005</v>
      </c>
      <c r="K19" s="3"/>
      <c r="L19" s="6"/>
      <c r="M19" s="6"/>
      <c r="N19" s="6"/>
      <c r="O19" s="6"/>
    </row>
    <row r="20" spans="1:15" ht="49.5" x14ac:dyDescent="0.65">
      <c r="A20" s="11"/>
      <c r="B20" s="12" t="s">
        <v>24</v>
      </c>
      <c r="C20" s="12" t="s">
        <v>52</v>
      </c>
      <c r="D20" s="13">
        <v>460</v>
      </c>
      <c r="E20" s="13">
        <v>1640</v>
      </c>
      <c r="F20" s="14">
        <v>1</v>
      </c>
      <c r="G20" s="15" t="s">
        <v>53</v>
      </c>
      <c r="H20" s="16">
        <v>12</v>
      </c>
      <c r="I20" s="15" t="s">
        <v>26</v>
      </c>
      <c r="J20" s="17">
        <f t="shared" si="0"/>
        <v>1.5087999999999999</v>
      </c>
      <c r="K20" s="3"/>
      <c r="L20" s="6"/>
      <c r="M20" s="6"/>
      <c r="N20" s="6"/>
      <c r="O20" s="6"/>
    </row>
    <row r="21" spans="1:15" ht="49.5" x14ac:dyDescent="0.65">
      <c r="A21" s="11"/>
      <c r="B21" s="12" t="s">
        <v>24</v>
      </c>
      <c r="C21" s="12" t="s">
        <v>52</v>
      </c>
      <c r="D21" s="13">
        <v>495</v>
      </c>
      <c r="E21" s="13">
        <v>1828</v>
      </c>
      <c r="F21" s="14">
        <v>1</v>
      </c>
      <c r="G21" s="15" t="s">
        <v>26</v>
      </c>
      <c r="H21" s="16">
        <v>12</v>
      </c>
      <c r="I21" s="15">
        <v>4</v>
      </c>
      <c r="J21" s="17">
        <f t="shared" si="0"/>
        <v>1.80972</v>
      </c>
      <c r="K21" s="3"/>
      <c r="L21" s="6"/>
      <c r="M21" s="6"/>
      <c r="N21" s="6"/>
      <c r="O21" s="6"/>
    </row>
    <row r="22" spans="1:15" ht="49.5" x14ac:dyDescent="0.65">
      <c r="A22" s="11"/>
      <c r="B22" s="12" t="s">
        <v>24</v>
      </c>
      <c r="C22" s="12" t="s">
        <v>52</v>
      </c>
      <c r="D22" s="13">
        <v>1217</v>
      </c>
      <c r="E22" s="13">
        <v>1960</v>
      </c>
      <c r="F22" s="14">
        <v>1</v>
      </c>
      <c r="G22" s="15" t="s">
        <v>26</v>
      </c>
      <c r="H22" s="16">
        <v>12</v>
      </c>
      <c r="I22" s="15">
        <v>4</v>
      </c>
      <c r="J22" s="17">
        <f t="shared" si="0"/>
        <v>4.7706400000000002</v>
      </c>
      <c r="K22" s="3"/>
      <c r="L22" s="6"/>
      <c r="M22" s="6"/>
      <c r="N22" s="6"/>
      <c r="O22" s="6"/>
    </row>
    <row r="23" spans="1:15" ht="49.5" x14ac:dyDescent="0.65">
      <c r="A23" s="11"/>
      <c r="B23" s="12" t="s">
        <v>24</v>
      </c>
      <c r="C23" s="12" t="s">
        <v>52</v>
      </c>
      <c r="D23" s="13">
        <v>391</v>
      </c>
      <c r="E23" s="13">
        <v>788</v>
      </c>
      <c r="F23" s="14">
        <v>1</v>
      </c>
      <c r="G23" s="15">
        <v>4</v>
      </c>
      <c r="H23" s="16">
        <v>12</v>
      </c>
      <c r="I23" s="15">
        <v>4</v>
      </c>
      <c r="J23" s="17">
        <f t="shared" si="0"/>
        <v>0.61621599999999999</v>
      </c>
      <c r="K23" s="3"/>
      <c r="L23" s="6"/>
      <c r="M23" s="6"/>
      <c r="N23" s="6"/>
      <c r="O23" s="6"/>
    </row>
    <row r="24" spans="1:15" ht="47.25" x14ac:dyDescent="0.6">
      <c r="A24" s="11"/>
      <c r="B24" s="12" t="s">
        <v>24</v>
      </c>
      <c r="C24" s="12" t="s">
        <v>52</v>
      </c>
      <c r="D24" s="19">
        <v>767</v>
      </c>
      <c r="E24" s="20">
        <v>1838</v>
      </c>
      <c r="F24" s="20">
        <v>1</v>
      </c>
      <c r="G24" s="15" t="s">
        <v>26</v>
      </c>
      <c r="H24" s="16">
        <v>12</v>
      </c>
      <c r="I24" s="15">
        <v>4</v>
      </c>
      <c r="J24" s="17">
        <f t="shared" si="0"/>
        <v>2.8194919999999999</v>
      </c>
      <c r="K24" s="3"/>
      <c r="L24" s="6"/>
      <c r="M24" s="6"/>
      <c r="N24" s="6"/>
      <c r="O24" s="6"/>
    </row>
    <row r="25" spans="1:15" ht="47.25" x14ac:dyDescent="0.6">
      <c r="A25" s="11"/>
      <c r="B25" s="12" t="s">
        <v>24</v>
      </c>
      <c r="C25" s="12" t="s">
        <v>52</v>
      </c>
      <c r="D25" s="19">
        <v>375</v>
      </c>
      <c r="E25" s="20">
        <v>1943</v>
      </c>
      <c r="F25" s="20">
        <v>2</v>
      </c>
      <c r="G25" s="15" t="s">
        <v>53</v>
      </c>
      <c r="H25" s="16">
        <v>12</v>
      </c>
      <c r="I25" s="15" t="s">
        <v>26</v>
      </c>
      <c r="J25" s="17">
        <f t="shared" si="0"/>
        <v>2.9144999999999999</v>
      </c>
      <c r="K25" s="3"/>
      <c r="L25" s="6"/>
      <c r="M25" s="6"/>
      <c r="N25" s="6"/>
      <c r="O25" s="6"/>
    </row>
    <row r="26" spans="1:15" ht="47.25" x14ac:dyDescent="0.6">
      <c r="A26" s="11"/>
      <c r="B26" s="12" t="s">
        <v>24</v>
      </c>
      <c r="C26" s="12" t="s">
        <v>52</v>
      </c>
      <c r="D26" s="19">
        <v>1047</v>
      </c>
      <c r="E26" s="20">
        <v>1837</v>
      </c>
      <c r="F26" s="20">
        <v>3</v>
      </c>
      <c r="G26" s="15" t="s">
        <v>26</v>
      </c>
      <c r="H26" s="16">
        <v>12</v>
      </c>
      <c r="I26" s="15">
        <v>4</v>
      </c>
      <c r="J26" s="17">
        <f t="shared" si="0"/>
        <v>11.540033999999999</v>
      </c>
      <c r="K26" s="3"/>
      <c r="L26" s="6"/>
      <c r="M26" s="6"/>
      <c r="N26" s="6"/>
      <c r="O26" s="6"/>
    </row>
    <row r="27" spans="1:15" ht="47.25" x14ac:dyDescent="0.6">
      <c r="A27" s="11"/>
      <c r="B27" s="12" t="s">
        <v>24</v>
      </c>
      <c r="C27" s="12" t="s">
        <v>52</v>
      </c>
      <c r="D27" s="19">
        <v>1527</v>
      </c>
      <c r="E27" s="20">
        <v>2031</v>
      </c>
      <c r="F27" s="20">
        <v>4</v>
      </c>
      <c r="G27" s="15" t="s">
        <v>26</v>
      </c>
      <c r="H27" s="16">
        <v>12</v>
      </c>
      <c r="I27" s="15">
        <v>4</v>
      </c>
      <c r="J27" s="17">
        <f t="shared" si="0"/>
        <v>24.810696</v>
      </c>
      <c r="K27" s="3"/>
      <c r="L27" s="6"/>
      <c r="M27" s="6"/>
      <c r="N27" s="6"/>
      <c r="O27" s="6"/>
    </row>
    <row r="28" spans="1:15" ht="47.25" x14ac:dyDescent="0.6">
      <c r="A28" s="11"/>
      <c r="B28" s="12" t="s">
        <v>54</v>
      </c>
      <c r="C28" s="12" t="s">
        <v>55</v>
      </c>
      <c r="D28" s="19">
        <v>550</v>
      </c>
      <c r="E28" s="20">
        <v>1565</v>
      </c>
      <c r="F28" s="20">
        <v>6</v>
      </c>
      <c r="G28" s="15">
        <v>4</v>
      </c>
      <c r="H28" s="16">
        <v>9</v>
      </c>
      <c r="I28" s="15">
        <v>4</v>
      </c>
      <c r="J28" s="17">
        <f t="shared" si="0"/>
        <v>10.329000000000001</v>
      </c>
      <c r="K28" s="3"/>
      <c r="L28" s="6"/>
      <c r="M28" s="6"/>
      <c r="N28" s="6"/>
      <c r="O28" s="6"/>
    </row>
    <row r="29" spans="1:15" ht="47.25" x14ac:dyDescent="0.6">
      <c r="A29" s="11"/>
      <c r="B29" s="12" t="s">
        <v>54</v>
      </c>
      <c r="C29" s="12" t="s">
        <v>55</v>
      </c>
      <c r="D29" s="19">
        <v>627</v>
      </c>
      <c r="E29" s="20">
        <v>1380</v>
      </c>
      <c r="F29" s="20">
        <v>2</v>
      </c>
      <c r="G29" s="15">
        <v>4</v>
      </c>
      <c r="H29" s="16">
        <v>9</v>
      </c>
      <c r="I29" s="15">
        <v>4</v>
      </c>
      <c r="J29" s="17">
        <f t="shared" si="0"/>
        <v>3.4610400000000001</v>
      </c>
      <c r="K29" s="3"/>
      <c r="L29" s="6"/>
      <c r="M29" s="6"/>
      <c r="N29" s="6"/>
      <c r="O29" s="6"/>
    </row>
    <row r="30" spans="1:15" ht="47.25" x14ac:dyDescent="0.6">
      <c r="A30" s="11"/>
      <c r="B30" s="12" t="s">
        <v>54</v>
      </c>
      <c r="C30" s="12" t="s">
        <v>55</v>
      </c>
      <c r="D30" s="19">
        <v>820</v>
      </c>
      <c r="E30" s="20">
        <v>1380</v>
      </c>
      <c r="F30" s="20">
        <v>2</v>
      </c>
      <c r="G30" s="15">
        <v>4</v>
      </c>
      <c r="H30" s="16">
        <v>9</v>
      </c>
      <c r="I30" s="15">
        <v>4</v>
      </c>
      <c r="J30" s="17">
        <f t="shared" si="0"/>
        <v>4.5263999999999998</v>
      </c>
      <c r="K30" s="3"/>
      <c r="L30" s="6"/>
      <c r="M30" s="6"/>
      <c r="N30" s="6"/>
      <c r="O30" s="6"/>
    </row>
    <row r="31" spans="1:15" ht="47.25" x14ac:dyDescent="0.6">
      <c r="A31" s="11"/>
      <c r="B31" s="12" t="s">
        <v>54</v>
      </c>
      <c r="C31" s="12" t="s">
        <v>55</v>
      </c>
      <c r="D31" s="19">
        <v>584</v>
      </c>
      <c r="E31" s="20">
        <v>1819</v>
      </c>
      <c r="F31" s="20">
        <v>1</v>
      </c>
      <c r="G31" s="15">
        <v>4</v>
      </c>
      <c r="H31" s="16">
        <v>12</v>
      </c>
      <c r="I31" s="15">
        <v>4</v>
      </c>
      <c r="J31" s="17">
        <f t="shared" si="0"/>
        <v>2.1245919999999998</v>
      </c>
      <c r="K31" s="3"/>
      <c r="L31" s="6"/>
      <c r="M31" s="6"/>
      <c r="N31" s="6"/>
      <c r="O31" s="6"/>
    </row>
    <row r="32" spans="1:15" ht="47.25" x14ac:dyDescent="0.6">
      <c r="A32" s="11"/>
      <c r="B32" s="12" t="s">
        <v>54</v>
      </c>
      <c r="C32" s="12" t="s">
        <v>55</v>
      </c>
      <c r="D32" s="19">
        <v>664</v>
      </c>
      <c r="E32" s="20">
        <v>1789</v>
      </c>
      <c r="F32" s="20">
        <v>1</v>
      </c>
      <c r="G32" s="15">
        <v>4</v>
      </c>
      <c r="H32" s="16">
        <v>12</v>
      </c>
      <c r="I32" s="15">
        <v>4</v>
      </c>
      <c r="J32" s="17">
        <f t="shared" si="0"/>
        <v>2.3757920000000001</v>
      </c>
      <c r="K32" s="3"/>
      <c r="L32" s="6"/>
      <c r="M32" s="6"/>
      <c r="N32" s="6"/>
      <c r="O32" s="6"/>
    </row>
    <row r="33" spans="1:15" ht="47.25" x14ac:dyDescent="0.6">
      <c r="A33" s="11"/>
      <c r="B33" s="12" t="s">
        <v>56</v>
      </c>
      <c r="C33" s="12" t="s">
        <v>57</v>
      </c>
      <c r="D33" s="19">
        <v>650</v>
      </c>
      <c r="E33" s="20">
        <v>1940</v>
      </c>
      <c r="F33" s="20">
        <v>1</v>
      </c>
      <c r="G33" s="15">
        <v>4</v>
      </c>
      <c r="H33" s="16">
        <v>12</v>
      </c>
      <c r="I33" s="15">
        <v>4</v>
      </c>
      <c r="J33" s="17">
        <f t="shared" si="0"/>
        <v>2.5219999999999998</v>
      </c>
      <c r="K33" s="3"/>
      <c r="L33" s="6"/>
      <c r="M33" s="6"/>
      <c r="N33" s="6"/>
      <c r="O33" s="6"/>
    </row>
    <row r="34" spans="1:15" ht="49.5" x14ac:dyDescent="0.65">
      <c r="A34" s="11"/>
      <c r="B34" s="12"/>
      <c r="C34" s="12"/>
      <c r="D34" s="13"/>
      <c r="E34" s="13"/>
      <c r="F34" s="21"/>
      <c r="G34" s="15"/>
      <c r="H34" s="16"/>
      <c r="I34" s="15"/>
      <c r="J34" s="22"/>
      <c r="K34" s="1"/>
    </row>
    <row r="35" spans="1:15" ht="49.5" x14ac:dyDescent="0.65">
      <c r="A35" s="11"/>
      <c r="B35" s="12"/>
      <c r="C35" s="12"/>
      <c r="D35" s="14"/>
      <c r="E35" s="14"/>
      <c r="F35" s="13">
        <f>SUM(F5:F34)</f>
        <v>44</v>
      </c>
      <c r="G35" s="16"/>
      <c r="H35" s="23"/>
      <c r="I35" s="15"/>
      <c r="J35" s="17">
        <f>+SUM(J5:J34)</f>
        <v>129.97917000000004</v>
      </c>
      <c r="K35" s="17"/>
    </row>
    <row r="36" spans="1:15" x14ac:dyDescent="0.5">
      <c r="H36" s="18">
        <v>5</v>
      </c>
      <c r="J36" s="17">
        <f>+J35/2</f>
        <v>64.989585000000019</v>
      </c>
    </row>
    <row r="37" spans="1:15" ht="45" x14ac:dyDescent="0.6">
      <c r="B37" s="24"/>
      <c r="D37" s="12">
        <f>+D1</f>
        <v>46127</v>
      </c>
      <c r="E37" s="25"/>
      <c r="F37" s="26"/>
      <c r="J37" s="17"/>
    </row>
    <row r="38" spans="1:15" ht="24.75" customHeight="1" x14ac:dyDescent="0.55000000000000004">
      <c r="D38" s="12"/>
      <c r="J38" s="17"/>
    </row>
    <row r="39" spans="1:15" ht="46.5" x14ac:dyDescent="0.7">
      <c r="B39" s="27" t="s">
        <v>2</v>
      </c>
      <c r="C39" s="27" t="s">
        <v>3</v>
      </c>
      <c r="D39" s="39" t="s">
        <v>4</v>
      </c>
      <c r="E39" s="40"/>
      <c r="F39" s="27" t="s">
        <v>11</v>
      </c>
      <c r="G39" s="27" t="s">
        <v>12</v>
      </c>
      <c r="H39" s="27" t="s">
        <v>9</v>
      </c>
      <c r="I39" s="27" t="s">
        <v>13</v>
      </c>
      <c r="J39" s="28"/>
    </row>
    <row r="40" spans="1:15" s="32" customFormat="1" ht="44.45" customHeight="1" x14ac:dyDescent="0.6">
      <c r="A40" s="1"/>
      <c r="B40" s="12" t="s">
        <v>58</v>
      </c>
      <c r="C40" s="12" t="s">
        <v>59</v>
      </c>
      <c r="D40" s="19">
        <v>520</v>
      </c>
      <c r="E40" s="20">
        <v>1825</v>
      </c>
      <c r="F40" s="20">
        <v>1</v>
      </c>
      <c r="G40" s="20" t="s">
        <v>17</v>
      </c>
      <c r="H40" s="29">
        <f t="shared" ref="H40:H52" si="1">+(D40*E40*F40)/1000000</f>
        <v>0.94899999999999995</v>
      </c>
      <c r="I40" s="30" t="s">
        <v>20</v>
      </c>
      <c r="J40" s="31"/>
      <c r="K40" s="18"/>
    </row>
    <row r="41" spans="1:15" s="32" customFormat="1" ht="44.45" customHeight="1" x14ac:dyDescent="0.6">
      <c r="A41" s="1"/>
      <c r="B41" s="12" t="s">
        <v>60</v>
      </c>
      <c r="C41" s="12" t="s">
        <v>22</v>
      </c>
      <c r="D41" s="19">
        <v>700</v>
      </c>
      <c r="E41" s="20">
        <v>1980</v>
      </c>
      <c r="F41" s="20">
        <v>1</v>
      </c>
      <c r="G41" s="20" t="s">
        <v>17</v>
      </c>
      <c r="H41" s="29">
        <f t="shared" si="1"/>
        <v>1.3859999999999999</v>
      </c>
      <c r="I41" s="30" t="s">
        <v>20</v>
      </c>
      <c r="J41" s="31"/>
      <c r="K41" s="18"/>
    </row>
    <row r="42" spans="1:15" s="32" customFormat="1" ht="44.45" customHeight="1" x14ac:dyDescent="0.6">
      <c r="A42" s="1"/>
      <c r="B42" s="12" t="s">
        <v>60</v>
      </c>
      <c r="C42" s="12" t="s">
        <v>22</v>
      </c>
      <c r="D42" s="19">
        <v>110</v>
      </c>
      <c r="E42" s="20">
        <v>1980</v>
      </c>
      <c r="F42" s="20">
        <v>1</v>
      </c>
      <c r="G42" s="20" t="s">
        <v>17</v>
      </c>
      <c r="H42" s="29">
        <f t="shared" si="1"/>
        <v>0.21779999999999999</v>
      </c>
      <c r="I42" s="30" t="s">
        <v>20</v>
      </c>
      <c r="J42" s="31"/>
      <c r="K42" s="18"/>
    </row>
    <row r="43" spans="1:15" s="32" customFormat="1" ht="44.45" customHeight="1" x14ac:dyDescent="0.6">
      <c r="A43" s="1"/>
      <c r="B43" s="12" t="s">
        <v>61</v>
      </c>
      <c r="C43" s="12" t="s">
        <v>62</v>
      </c>
      <c r="D43" s="19">
        <v>600</v>
      </c>
      <c r="E43" s="20">
        <v>1880</v>
      </c>
      <c r="F43" s="20">
        <v>1</v>
      </c>
      <c r="G43" s="20" t="s">
        <v>17</v>
      </c>
      <c r="H43" s="29">
        <f t="shared" si="1"/>
        <v>1.1279999999999999</v>
      </c>
      <c r="I43" s="30" t="s">
        <v>20</v>
      </c>
      <c r="J43" s="31"/>
      <c r="K43" s="18"/>
    </row>
    <row r="44" spans="1:15" s="32" customFormat="1" ht="44.45" customHeight="1" x14ac:dyDescent="0.6">
      <c r="A44" s="1"/>
      <c r="B44" s="12" t="s">
        <v>61</v>
      </c>
      <c r="C44" s="12" t="s">
        <v>62</v>
      </c>
      <c r="D44" s="19">
        <v>2423</v>
      </c>
      <c r="E44" s="20">
        <v>1410</v>
      </c>
      <c r="F44" s="20">
        <v>1</v>
      </c>
      <c r="G44" s="20" t="s">
        <v>23</v>
      </c>
      <c r="H44" s="29">
        <f t="shared" si="1"/>
        <v>3.4164300000000001</v>
      </c>
      <c r="I44" s="30" t="s">
        <v>20</v>
      </c>
      <c r="J44" s="31"/>
      <c r="K44" s="18"/>
    </row>
    <row r="45" spans="1:15" s="32" customFormat="1" ht="44.45" customHeight="1" x14ac:dyDescent="0.6">
      <c r="A45" s="1"/>
      <c r="B45" s="12" t="s">
        <v>61</v>
      </c>
      <c r="C45" s="12" t="s">
        <v>62</v>
      </c>
      <c r="D45" s="19">
        <v>525</v>
      </c>
      <c r="E45" s="20">
        <v>590</v>
      </c>
      <c r="F45" s="20">
        <v>4</v>
      </c>
      <c r="G45" s="20" t="s">
        <v>26</v>
      </c>
      <c r="H45" s="29">
        <f t="shared" si="1"/>
        <v>1.2390000000000001</v>
      </c>
      <c r="I45" s="30" t="s">
        <v>63</v>
      </c>
      <c r="J45" s="31"/>
      <c r="K45" s="18"/>
    </row>
    <row r="46" spans="1:15" s="32" customFormat="1" ht="44.45" customHeight="1" x14ac:dyDescent="0.6">
      <c r="A46" s="1"/>
      <c r="B46" s="12" t="s">
        <v>61</v>
      </c>
      <c r="C46" s="12" t="s">
        <v>62</v>
      </c>
      <c r="D46" s="19">
        <v>525</v>
      </c>
      <c r="E46" s="20">
        <v>595</v>
      </c>
      <c r="F46" s="20">
        <v>8</v>
      </c>
      <c r="G46" s="20" t="s">
        <v>26</v>
      </c>
      <c r="H46" s="29">
        <f t="shared" si="1"/>
        <v>2.4990000000000001</v>
      </c>
      <c r="I46" s="30" t="s">
        <v>63</v>
      </c>
      <c r="J46" s="31"/>
      <c r="K46" s="18"/>
    </row>
    <row r="47" spans="1:15" s="32" customFormat="1" ht="44.45" customHeight="1" x14ac:dyDescent="0.6">
      <c r="A47" s="1"/>
      <c r="B47" s="12" t="s">
        <v>61</v>
      </c>
      <c r="C47" s="12" t="s">
        <v>62</v>
      </c>
      <c r="D47" s="19">
        <v>407</v>
      </c>
      <c r="E47" s="20">
        <v>590</v>
      </c>
      <c r="F47" s="20">
        <v>12</v>
      </c>
      <c r="G47" s="20" t="s">
        <v>26</v>
      </c>
      <c r="H47" s="29">
        <f t="shared" si="1"/>
        <v>2.8815599999999999</v>
      </c>
      <c r="I47" s="30" t="s">
        <v>63</v>
      </c>
      <c r="J47" s="31"/>
      <c r="K47" s="18"/>
    </row>
    <row r="48" spans="1:15" s="32" customFormat="1" ht="44.45" customHeight="1" x14ac:dyDescent="0.6">
      <c r="A48" s="1"/>
      <c r="B48" s="12" t="s">
        <v>61</v>
      </c>
      <c r="C48" s="12" t="s">
        <v>62</v>
      </c>
      <c r="D48" s="19">
        <v>370</v>
      </c>
      <c r="E48" s="20">
        <v>575</v>
      </c>
      <c r="F48" s="20">
        <v>5</v>
      </c>
      <c r="G48" s="20" t="s">
        <v>26</v>
      </c>
      <c r="H48" s="29">
        <f t="shared" si="1"/>
        <v>1.06375</v>
      </c>
      <c r="I48" s="30" t="s">
        <v>63</v>
      </c>
      <c r="J48" s="31"/>
      <c r="K48" s="18"/>
    </row>
    <row r="49" spans="1:11" s="32" customFormat="1" ht="44.45" customHeight="1" x14ac:dyDescent="0.6">
      <c r="A49" s="1"/>
      <c r="B49" s="12" t="s">
        <v>61</v>
      </c>
      <c r="C49" s="12" t="s">
        <v>62</v>
      </c>
      <c r="D49" s="19">
        <v>320</v>
      </c>
      <c r="E49" s="20">
        <v>575</v>
      </c>
      <c r="F49" s="20">
        <v>1</v>
      </c>
      <c r="G49" s="20" t="s">
        <v>26</v>
      </c>
      <c r="H49" s="29">
        <f t="shared" si="1"/>
        <v>0.184</v>
      </c>
      <c r="I49" s="30" t="s">
        <v>63</v>
      </c>
      <c r="J49" s="31"/>
      <c r="K49" s="18"/>
    </row>
    <row r="50" spans="1:11" s="32" customFormat="1" ht="44.45" customHeight="1" x14ac:dyDescent="0.6">
      <c r="A50" s="1"/>
      <c r="B50" s="12" t="s">
        <v>61</v>
      </c>
      <c r="C50" s="12" t="s">
        <v>62</v>
      </c>
      <c r="D50" s="19">
        <v>470</v>
      </c>
      <c r="E50" s="20">
        <v>592</v>
      </c>
      <c r="F50" s="20">
        <v>6</v>
      </c>
      <c r="G50" s="20" t="s">
        <v>26</v>
      </c>
      <c r="H50" s="29">
        <f t="shared" si="1"/>
        <v>1.66944</v>
      </c>
      <c r="I50" s="30" t="s">
        <v>63</v>
      </c>
      <c r="J50" s="31"/>
      <c r="K50" s="18"/>
    </row>
    <row r="51" spans="1:11" s="32" customFormat="1" ht="44.45" customHeight="1" x14ac:dyDescent="0.6">
      <c r="A51" s="1"/>
      <c r="B51" s="12" t="s">
        <v>61</v>
      </c>
      <c r="C51" s="12" t="s">
        <v>62</v>
      </c>
      <c r="D51" s="19">
        <v>370</v>
      </c>
      <c r="E51" s="20">
        <v>568</v>
      </c>
      <c r="F51" s="20">
        <v>5</v>
      </c>
      <c r="G51" s="20" t="s">
        <v>64</v>
      </c>
      <c r="H51" s="29">
        <f t="shared" si="1"/>
        <v>1.0508</v>
      </c>
      <c r="I51" s="30" t="s">
        <v>65</v>
      </c>
      <c r="J51" s="31"/>
      <c r="K51" s="18"/>
    </row>
    <row r="52" spans="1:11" s="32" customFormat="1" ht="44.45" customHeight="1" x14ac:dyDescent="0.6">
      <c r="A52" s="1"/>
      <c r="B52" s="12" t="s">
        <v>61</v>
      </c>
      <c r="C52" s="12" t="s">
        <v>62</v>
      </c>
      <c r="D52" s="19">
        <v>320</v>
      </c>
      <c r="E52" s="20">
        <v>568</v>
      </c>
      <c r="F52" s="20">
        <v>1</v>
      </c>
      <c r="G52" s="20" t="s">
        <v>64</v>
      </c>
      <c r="H52" s="29">
        <f t="shared" si="1"/>
        <v>0.18176</v>
      </c>
      <c r="I52" s="30" t="s">
        <v>65</v>
      </c>
      <c r="J52" s="31"/>
      <c r="K52" s="18"/>
    </row>
    <row r="53" spans="1:11" s="32" customFormat="1" ht="44.25" x14ac:dyDescent="0.55000000000000004">
      <c r="A53" s="1"/>
      <c r="B53" s="12"/>
      <c r="C53" s="12"/>
      <c r="D53" s="33"/>
      <c r="E53" s="16"/>
      <c r="F53" s="34"/>
      <c r="G53" s="16"/>
      <c r="H53" s="35"/>
      <c r="I53" s="18"/>
      <c r="K53" s="18"/>
    </row>
    <row r="54" spans="1:11" s="32" customFormat="1" ht="44.25" x14ac:dyDescent="0.55000000000000004">
      <c r="A54" s="1"/>
      <c r="B54" s="12"/>
      <c r="C54" s="16"/>
      <c r="D54" s="33"/>
      <c r="E54" s="33"/>
      <c r="F54" s="16">
        <f>+SUM(F40:F53)</f>
        <v>47</v>
      </c>
      <c r="G54" s="16"/>
      <c r="H54" s="29">
        <f>+SUM(H40:H53)</f>
        <v>17.866540000000001</v>
      </c>
      <c r="I54" s="18"/>
      <c r="K54" s="18"/>
    </row>
    <row r="55" spans="1:11" ht="44.25" x14ac:dyDescent="0.55000000000000004">
      <c r="A55" s="11"/>
      <c r="B55" s="12"/>
      <c r="C55" s="12"/>
      <c r="D55" s="33"/>
      <c r="E55" s="33"/>
      <c r="F55" s="16"/>
      <c r="G55" s="16"/>
      <c r="H55" s="29"/>
      <c r="I55" s="24"/>
      <c r="J55" s="36"/>
    </row>
    <row r="56" spans="1:11" ht="44.25" x14ac:dyDescent="0.55000000000000004">
      <c r="A56" s="11"/>
      <c r="B56" s="12"/>
      <c r="C56" s="12"/>
      <c r="D56" s="41"/>
      <c r="E56" s="41"/>
      <c r="F56" s="16"/>
      <c r="G56" s="16"/>
      <c r="H56" s="29"/>
      <c r="I56" s="24"/>
      <c r="J56" s="36"/>
    </row>
  </sheetData>
  <mergeCells count="2">
    <mergeCell ref="D39:E39"/>
    <mergeCell ref="D56:E56"/>
  </mergeCells>
  <printOptions horizontalCentered="1"/>
  <pageMargins left="0.19685039370078741" right="0.19685039370078741" top="0.39370078740157483" bottom="0.39370078740157483" header="0" footer="0"/>
  <pageSetup paperSize="9" scale="20" orientation="landscape" r:id="rId1"/>
  <headerFooter alignWithMargins="0">
    <oddFooter>&amp;L&amp;"-,Negrita"&amp;8Facundo Morazzo Cristales &amp; Aberturas&amp;R&amp;"-,Negrita"&amp;8&amp;F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07-04-2026</vt:lpstr>
      <vt:lpstr>08-04-2026</vt:lpstr>
      <vt:lpstr>10-04-2026</vt:lpstr>
      <vt:lpstr>15-04-2026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Felipe Lentini</cp:lastModifiedBy>
  <dcterms:created xsi:type="dcterms:W3CDTF">2026-04-29T14:56:19Z</dcterms:created>
  <dcterms:modified xsi:type="dcterms:W3CDTF">2026-04-29T16:11:07Z</dcterms:modified>
</cp:coreProperties>
</file>